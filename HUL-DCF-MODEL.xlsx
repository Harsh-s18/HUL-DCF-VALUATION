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EBE7E29-211E-415D-88AC-8AA71B0DE940}" xr6:coauthVersionLast="47" xr6:coauthVersionMax="47" xr10:uidLastSave="{00000000-0000-0000-0000-000000000000}"/>
  <bookViews>
    <workbookView xWindow="-108" yWindow="-108" windowWidth="23256" windowHeight="13176" tabRatio="633" activeTab="7" xr2:uid="{00000000-000D-0000-FFFF-FFFF00000000}"/>
  </bookViews>
  <sheets>
    <sheet name="Cover Page" sheetId="30" r:id="rId1"/>
    <sheet name="Assumptions and Notes" sheetId="29" r:id="rId2"/>
    <sheet name="DCF&gt;" sheetId="13" r:id="rId3"/>
    <sheet name="DCF" sheetId="21" r:id="rId4"/>
    <sheet name="WACC" sheetId="14" r:id="rId5"/>
    <sheet name="Intrinsic Growth" sheetId="19" r:id="rId6"/>
    <sheet name="Football Field" sheetId="26" r:id="rId7"/>
    <sheet name="Comps Val" sheetId="27" r:id="rId8"/>
    <sheet name="Data&gt;" sheetId="10" r:id="rId9"/>
    <sheet name="Beta - Regression" sheetId="15" r:id="rId10"/>
    <sheet name="Beta - Comps" sheetId="16" r:id="rId11"/>
    <sheet name="Rm" sheetId="17" r:id="rId12"/>
    <sheet name="Comps Data" sheetId="28" r:id="rId13"/>
    <sheet name="Financials&gt;" sheetId="25" r:id="rId14"/>
    <sheet name="HistoricalFS" sheetId="9" r:id="rId15"/>
    <sheet name="Ratio Analysis" sheetId="23" r:id="rId16"/>
    <sheet name="Forecasting" sheetId="24" r:id="rId17"/>
    <sheet name="Data Room&gt;" sheetId="22" r:id="rId18"/>
    <sheet name="Data Sheet" sheetId="6" r:id="rId19"/>
    <sheet name="Raw FS" sheetId="20" r:id="rId20"/>
  </sheets>
  <definedNames>
    <definedName name="_xlnm._FilterDatabase" localSheetId="9" hidden="1">'Beta - Regression'!$B$6:$C$112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30" l="1"/>
  <c r="L7" i="21"/>
  <c r="I4" i="21"/>
  <c r="J4" i="21"/>
  <c r="K4" i="21"/>
  <c r="L4" i="21"/>
  <c r="H4" i="21"/>
  <c r="D45" i="9"/>
  <c r="E45" i="9"/>
  <c r="F45" i="9"/>
  <c r="G45" i="9"/>
  <c r="H45" i="9"/>
  <c r="I45" i="9"/>
  <c r="J45" i="9"/>
  <c r="K45" i="9"/>
  <c r="C45" i="9"/>
  <c r="E14" i="21"/>
  <c r="P24" i="27"/>
  <c r="Q24" i="27"/>
  <c r="P21" i="27"/>
  <c r="Q21" i="27"/>
  <c r="O24" i="27"/>
  <c r="O22" i="27"/>
  <c r="O21" i="27"/>
  <c r="D32" i="29"/>
  <c r="D39" i="29"/>
  <c r="D31" i="29"/>
  <c r="D30" i="29"/>
  <c r="D55" i="29"/>
  <c r="B2" i="29"/>
  <c r="D10" i="14"/>
  <c r="E10" i="14"/>
  <c r="G10" i="14"/>
  <c r="H10" i="14"/>
  <c r="I10" i="14"/>
  <c r="J10" i="14"/>
  <c r="D3" i="23"/>
  <c r="E3" i="23"/>
  <c r="F3" i="23"/>
  <c r="G3" i="23"/>
  <c r="H3" i="23"/>
  <c r="I3" i="23"/>
  <c r="J3" i="23"/>
  <c r="K3" i="23"/>
  <c r="C3" i="23"/>
  <c r="G2" i="21"/>
  <c r="H59" i="19"/>
  <c r="I59" i="19"/>
  <c r="J59" i="19"/>
  <c r="K59" i="19"/>
  <c r="G59" i="19"/>
  <c r="H43" i="19"/>
  <c r="I43" i="19"/>
  <c r="J43" i="19"/>
  <c r="K43" i="19"/>
  <c r="G43" i="19"/>
  <c r="H2" i="19"/>
  <c r="I2" i="19"/>
  <c r="J2" i="19"/>
  <c r="K2" i="19"/>
  <c r="G2" i="19"/>
  <c r="K18" i="27"/>
  <c r="L18" i="27"/>
  <c r="M18" i="27"/>
  <c r="K10" i="27"/>
  <c r="L10" i="27"/>
  <c r="M10" i="27"/>
  <c r="K11" i="27"/>
  <c r="L11" i="27"/>
  <c r="M11" i="27"/>
  <c r="K12" i="27"/>
  <c r="L12" i="27"/>
  <c r="M12" i="27"/>
  <c r="K13" i="27"/>
  <c r="L13" i="27"/>
  <c r="M13" i="27"/>
  <c r="K14" i="27"/>
  <c r="L14" i="27"/>
  <c r="M14" i="27"/>
  <c r="K15" i="27"/>
  <c r="L15" i="27"/>
  <c r="M15" i="27"/>
  <c r="K16" i="27"/>
  <c r="L16" i="27"/>
  <c r="M16" i="27"/>
  <c r="K17" i="27"/>
  <c r="L17" i="27"/>
  <c r="M17" i="27"/>
  <c r="L9" i="27"/>
  <c r="M9" i="27"/>
  <c r="K9" i="27"/>
  <c r="G10" i="27"/>
  <c r="G11" i="27"/>
  <c r="G12" i="27"/>
  <c r="G13" i="27"/>
  <c r="G14" i="27"/>
  <c r="G15" i="27"/>
  <c r="G16" i="27"/>
  <c r="G17" i="27"/>
  <c r="G18" i="27"/>
  <c r="G9" i="27"/>
  <c r="Q30" i="27" s="1"/>
  <c r="I5" i="28"/>
  <c r="I6" i="28"/>
  <c r="I7" i="28"/>
  <c r="I8" i="28"/>
  <c r="I9" i="28"/>
  <c r="I10" i="28"/>
  <c r="I11" i="28"/>
  <c r="I12" i="28"/>
  <c r="I13" i="28"/>
  <c r="I4" i="28"/>
  <c r="E10" i="27"/>
  <c r="E11" i="27"/>
  <c r="E12" i="27"/>
  <c r="E13" i="27"/>
  <c r="E14" i="27"/>
  <c r="E15" i="27"/>
  <c r="E16" i="27"/>
  <c r="E17" i="27"/>
  <c r="E18" i="27"/>
  <c r="E9" i="27"/>
  <c r="Q32" i="27" s="1"/>
  <c r="D10" i="27"/>
  <c r="D11" i="27"/>
  <c r="D12" i="27"/>
  <c r="D13" i="27"/>
  <c r="D14" i="27"/>
  <c r="D15" i="27"/>
  <c r="D16" i="27"/>
  <c r="D17" i="27"/>
  <c r="D18" i="27"/>
  <c r="D9" i="27"/>
  <c r="B10" i="27"/>
  <c r="B11" i="27"/>
  <c r="B12" i="27"/>
  <c r="B13" i="27"/>
  <c r="B14" i="27"/>
  <c r="B15" i="27"/>
  <c r="B16" i="27"/>
  <c r="B17" i="27"/>
  <c r="B18" i="27"/>
  <c r="B9" i="27"/>
  <c r="F34" i="28"/>
  <c r="J34" i="28" s="1"/>
  <c r="F33" i="28"/>
  <c r="J33" i="28" s="1"/>
  <c r="F32" i="28"/>
  <c r="J32" i="28" s="1"/>
  <c r="F31" i="28"/>
  <c r="J31" i="28" s="1"/>
  <c r="F30" i="28"/>
  <c r="J30" i="28" s="1"/>
  <c r="F29" i="28"/>
  <c r="J29" i="28" s="1"/>
  <c r="F28" i="28"/>
  <c r="J28" i="28" s="1"/>
  <c r="F27" i="28"/>
  <c r="J27" i="28" s="1"/>
  <c r="F26" i="28"/>
  <c r="J26" i="28" s="1"/>
  <c r="F25" i="28"/>
  <c r="J25" i="28" s="1"/>
  <c r="F24" i="28"/>
  <c r="J24" i="28" s="1"/>
  <c r="F23" i="28"/>
  <c r="J23" i="28" s="1"/>
  <c r="F22" i="28"/>
  <c r="J22" i="28" s="1"/>
  <c r="F21" i="28"/>
  <c r="J21" i="28" s="1"/>
  <c r="F20" i="28"/>
  <c r="J20" i="28" s="1"/>
  <c r="F13" i="28"/>
  <c r="J13" i="28" s="1"/>
  <c r="F12" i="28"/>
  <c r="J12" i="28" s="1"/>
  <c r="F11" i="28"/>
  <c r="J11" i="28" s="1"/>
  <c r="F10" i="28"/>
  <c r="J10" i="28" s="1"/>
  <c r="F9" i="28"/>
  <c r="J9" i="28" s="1"/>
  <c r="F8" i="28"/>
  <c r="J8" i="28" s="1"/>
  <c r="F7" i="28"/>
  <c r="J7" i="28" s="1"/>
  <c r="F6" i="28"/>
  <c r="J6" i="28" s="1"/>
  <c r="F5" i="28"/>
  <c r="J5" i="28" s="1"/>
  <c r="F4" i="28"/>
  <c r="J4" i="28" s="1"/>
  <c r="Q13" i="27" l="1"/>
  <c r="F17" i="27"/>
  <c r="H17" i="27" s="1"/>
  <c r="F15" i="27"/>
  <c r="H15" i="27" s="1"/>
  <c r="F14" i="27"/>
  <c r="H14" i="27" s="1"/>
  <c r="F13" i="27"/>
  <c r="H13" i="27" s="1"/>
  <c r="O13" i="27" s="1"/>
  <c r="O32" i="27"/>
  <c r="F18" i="27"/>
  <c r="H18" i="27" s="1"/>
  <c r="O18" i="27" s="1"/>
  <c r="P17" i="27"/>
  <c r="O17" i="27"/>
  <c r="O15" i="27"/>
  <c r="P15" i="27"/>
  <c r="O14" i="27"/>
  <c r="P14" i="27"/>
  <c r="O30" i="27"/>
  <c r="F10" i="27"/>
  <c r="Q17" i="27"/>
  <c r="P32" i="27"/>
  <c r="F12" i="27"/>
  <c r="F11" i="27"/>
  <c r="P30" i="27"/>
  <c r="P13" i="27"/>
  <c r="F9" i="27"/>
  <c r="F16" i="27"/>
  <c r="J23" i="14"/>
  <c r="G11" i="17"/>
  <c r="D17" i="24"/>
  <c r="D16" i="24"/>
  <c r="D15" i="24"/>
  <c r="D14" i="24"/>
  <c r="D13" i="24"/>
  <c r="D4" i="24" a="1"/>
  <c r="D4" i="24" s="1"/>
  <c r="D5" i="24"/>
  <c r="D6" i="24"/>
  <c r="D7" i="24"/>
  <c r="D8" i="24"/>
  <c r="D9" i="24"/>
  <c r="D10" i="24"/>
  <c r="D11" i="24"/>
  <c r="D12" i="24"/>
  <c r="E9" i="24"/>
  <c r="E10" i="24"/>
  <c r="E11" i="24"/>
  <c r="E12" i="24"/>
  <c r="E7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4" i="24"/>
  <c r="C6" i="24"/>
  <c r="C7" i="24"/>
  <c r="C8" i="24"/>
  <c r="C9" i="24"/>
  <c r="C10" i="24"/>
  <c r="C11" i="24"/>
  <c r="C12" i="24"/>
  <c r="C13" i="24"/>
  <c r="C14" i="24"/>
  <c r="C15" i="24" s="1"/>
  <c r="C16" i="24" s="1"/>
  <c r="C17" i="24" s="1"/>
  <c r="C5" i="24"/>
  <c r="C4" i="24"/>
  <c r="L2" i="24"/>
  <c r="G2" i="24"/>
  <c r="B2" i="24"/>
  <c r="G7" i="24"/>
  <c r="G8" i="24" s="1"/>
  <c r="G9" i="24" s="1"/>
  <c r="G10" i="24" s="1"/>
  <c r="G11" i="24" s="1"/>
  <c r="G12" i="24" s="1"/>
  <c r="G13" i="24" s="1"/>
  <c r="G6" i="24"/>
  <c r="B6" i="24"/>
  <c r="B7" i="24" s="1"/>
  <c r="B8" i="24" s="1"/>
  <c r="B9" i="24" s="1"/>
  <c r="B10" i="24" s="1"/>
  <c r="B11" i="24" s="1"/>
  <c r="B12" i="24" s="1"/>
  <c r="B13" i="24" s="1"/>
  <c r="L5" i="24"/>
  <c r="L6" i="24" s="1"/>
  <c r="L7" i="24" s="1"/>
  <c r="L8" i="24" s="1"/>
  <c r="L9" i="24" s="1"/>
  <c r="L10" i="24" s="1"/>
  <c r="L11" i="24" s="1"/>
  <c r="L12" i="24" s="1"/>
  <c r="L13" i="24" s="1"/>
  <c r="G5" i="24"/>
  <c r="B5" i="24"/>
  <c r="B2" i="23"/>
  <c r="Q14" i="27" l="1"/>
  <c r="Q15" i="27"/>
  <c r="Q18" i="27"/>
  <c r="P18" i="27"/>
  <c r="Q12" i="27"/>
  <c r="H12" i="27"/>
  <c r="H16" i="27"/>
  <c r="Q16" i="27"/>
  <c r="Q10" i="27"/>
  <c r="H10" i="27"/>
  <c r="H9" i="27"/>
  <c r="Q9" i="27"/>
  <c r="Q11" i="27"/>
  <c r="H11" i="27"/>
  <c r="L14" i="24"/>
  <c r="E6" i="24"/>
  <c r="B14" i="24"/>
  <c r="E8" i="24"/>
  <c r="G14" i="24"/>
  <c r="E13" i="24"/>
  <c r="O11" i="27" l="1"/>
  <c r="P11" i="27"/>
  <c r="Q22" i="27"/>
  <c r="Q20" i="27"/>
  <c r="Q23" i="27"/>
  <c r="Q31" i="27" s="1"/>
  <c r="Q34" i="27" s="1"/>
  <c r="Q37" i="27" s="1"/>
  <c r="Q25" i="27"/>
  <c r="O9" i="27"/>
  <c r="P9" i="27"/>
  <c r="O10" i="27"/>
  <c r="P10" i="27"/>
  <c r="O16" i="27"/>
  <c r="P16" i="27"/>
  <c r="O12" i="27"/>
  <c r="P12" i="27"/>
  <c r="E5" i="24"/>
  <c r="L15" i="24"/>
  <c r="G15" i="24"/>
  <c r="B15" i="24"/>
  <c r="E14" i="24"/>
  <c r="Q29" i="27" l="1"/>
  <c r="P22" i="27"/>
  <c r="P23" i="27"/>
  <c r="P29" i="27" s="1"/>
  <c r="P31" i="27" s="1"/>
  <c r="P34" i="27" s="1"/>
  <c r="P37" i="27" s="1"/>
  <c r="P25" i="27"/>
  <c r="P20" i="27"/>
  <c r="O25" i="27"/>
  <c r="O20" i="27"/>
  <c r="O23" i="27"/>
  <c r="O29" i="27" s="1"/>
  <c r="O31" i="27" s="1"/>
  <c r="O34" i="27" s="1"/>
  <c r="O37" i="27" s="1"/>
  <c r="E15" i="24"/>
  <c r="B16" i="24"/>
  <c r="G16" i="24"/>
  <c r="L16" i="24"/>
  <c r="G17" i="24" l="1"/>
  <c r="B17" i="24"/>
  <c r="E16" i="24"/>
  <c r="L17" i="24"/>
  <c r="E17" i="24" l="1"/>
  <c r="D104" i="9" l="1"/>
  <c r="E104" i="9"/>
  <c r="F104" i="9"/>
  <c r="G104" i="9"/>
  <c r="H104" i="9"/>
  <c r="I104" i="9"/>
  <c r="J104" i="9"/>
  <c r="K104" i="9"/>
  <c r="D105" i="9"/>
  <c r="E105" i="9"/>
  <c r="E111" i="9" s="1"/>
  <c r="F105" i="9"/>
  <c r="G105" i="9"/>
  <c r="H105" i="9"/>
  <c r="I105" i="9"/>
  <c r="J105" i="9"/>
  <c r="K105" i="9"/>
  <c r="D106" i="9"/>
  <c r="E106" i="9"/>
  <c r="F106" i="9"/>
  <c r="G106" i="9"/>
  <c r="H106" i="9"/>
  <c r="I106" i="9"/>
  <c r="J106" i="9"/>
  <c r="K106" i="9"/>
  <c r="D107" i="9"/>
  <c r="E107" i="9"/>
  <c r="F107" i="9"/>
  <c r="G107" i="9"/>
  <c r="H107" i="9"/>
  <c r="I107" i="9"/>
  <c r="J107" i="9"/>
  <c r="K107" i="9"/>
  <c r="D108" i="9"/>
  <c r="E108" i="9"/>
  <c r="F108" i="9"/>
  <c r="G108" i="9"/>
  <c r="H108" i="9"/>
  <c r="I108" i="9"/>
  <c r="J108" i="9"/>
  <c r="K108" i="9"/>
  <c r="D109" i="9"/>
  <c r="E109" i="9"/>
  <c r="F109" i="9"/>
  <c r="G109" i="9"/>
  <c r="H109" i="9"/>
  <c r="I109" i="9"/>
  <c r="J109" i="9"/>
  <c r="K109" i="9"/>
  <c r="D110" i="9"/>
  <c r="E110" i="9"/>
  <c r="F110" i="9"/>
  <c r="G110" i="9"/>
  <c r="H110" i="9"/>
  <c r="I110" i="9"/>
  <c r="J110" i="9"/>
  <c r="K110" i="9"/>
  <c r="C109" i="9"/>
  <c r="C110" i="9"/>
  <c r="C107" i="9"/>
  <c r="C108" i="9"/>
  <c r="C105" i="9"/>
  <c r="C106" i="9"/>
  <c r="C104" i="9"/>
  <c r="D92" i="9"/>
  <c r="E92" i="9"/>
  <c r="F92" i="9"/>
  <c r="G92" i="9"/>
  <c r="H92" i="9"/>
  <c r="I92" i="9"/>
  <c r="J92" i="9"/>
  <c r="K92" i="9"/>
  <c r="D93" i="9"/>
  <c r="E93" i="9"/>
  <c r="F93" i="9"/>
  <c r="G93" i="9"/>
  <c r="H93" i="9"/>
  <c r="I93" i="9"/>
  <c r="J93" i="9"/>
  <c r="K93" i="9"/>
  <c r="D94" i="9"/>
  <c r="E94" i="9"/>
  <c r="F94" i="9"/>
  <c r="G94" i="9"/>
  <c r="H94" i="9"/>
  <c r="I94" i="9"/>
  <c r="J94" i="9"/>
  <c r="K94" i="9"/>
  <c r="D95" i="9"/>
  <c r="E95" i="9"/>
  <c r="F95" i="9"/>
  <c r="G95" i="9"/>
  <c r="H95" i="9"/>
  <c r="I95" i="9"/>
  <c r="J95" i="9"/>
  <c r="K95" i="9"/>
  <c r="D96" i="9"/>
  <c r="E96" i="9"/>
  <c r="F96" i="9"/>
  <c r="G96" i="9"/>
  <c r="H96" i="9"/>
  <c r="I96" i="9"/>
  <c r="J96" i="9"/>
  <c r="K96" i="9"/>
  <c r="D97" i="9"/>
  <c r="E97" i="9"/>
  <c r="F97" i="9"/>
  <c r="G97" i="9"/>
  <c r="H97" i="9"/>
  <c r="I97" i="9"/>
  <c r="J97" i="9"/>
  <c r="K97" i="9"/>
  <c r="D98" i="9"/>
  <c r="E98" i="9"/>
  <c r="F98" i="9"/>
  <c r="G98" i="9"/>
  <c r="H98" i="9"/>
  <c r="I98" i="9"/>
  <c r="J98" i="9"/>
  <c r="K98" i="9"/>
  <c r="D99" i="9"/>
  <c r="E99" i="9"/>
  <c r="F99" i="9"/>
  <c r="G99" i="9"/>
  <c r="H99" i="9"/>
  <c r="I99" i="9"/>
  <c r="J99" i="9"/>
  <c r="K99" i="9"/>
  <c r="D100" i="9"/>
  <c r="E100" i="9"/>
  <c r="F100" i="9"/>
  <c r="G100" i="9"/>
  <c r="H100" i="9"/>
  <c r="I100" i="9"/>
  <c r="J100" i="9"/>
  <c r="K100" i="9"/>
  <c r="C100" i="9"/>
  <c r="C97" i="9"/>
  <c r="C98" i="9"/>
  <c r="C99" i="9"/>
  <c r="C96" i="9"/>
  <c r="C93" i="9"/>
  <c r="C94" i="9"/>
  <c r="C95" i="9"/>
  <c r="C92" i="9"/>
  <c r="D78" i="9"/>
  <c r="E78" i="9"/>
  <c r="F78" i="9"/>
  <c r="G78" i="9"/>
  <c r="H78" i="9"/>
  <c r="I78" i="9"/>
  <c r="J78" i="9"/>
  <c r="K78" i="9"/>
  <c r="D79" i="9"/>
  <c r="E79" i="9"/>
  <c r="F79" i="9"/>
  <c r="G79" i="9"/>
  <c r="H79" i="9"/>
  <c r="I79" i="9"/>
  <c r="J79" i="9"/>
  <c r="K79" i="9"/>
  <c r="D80" i="9"/>
  <c r="E80" i="9"/>
  <c r="F80" i="9"/>
  <c r="G80" i="9"/>
  <c r="H80" i="9"/>
  <c r="I80" i="9"/>
  <c r="J80" i="9"/>
  <c r="K80" i="9"/>
  <c r="D81" i="9"/>
  <c r="E81" i="9"/>
  <c r="F81" i="9"/>
  <c r="G81" i="9"/>
  <c r="H81" i="9"/>
  <c r="I81" i="9"/>
  <c r="J81" i="9"/>
  <c r="K81" i="9"/>
  <c r="D82" i="9"/>
  <c r="E82" i="9"/>
  <c r="F82" i="9"/>
  <c r="G82" i="9"/>
  <c r="H82" i="9"/>
  <c r="I82" i="9"/>
  <c r="J82" i="9"/>
  <c r="K82" i="9"/>
  <c r="D83" i="9"/>
  <c r="E83" i="9"/>
  <c r="F83" i="9"/>
  <c r="G83" i="9"/>
  <c r="H83" i="9"/>
  <c r="I83" i="9"/>
  <c r="J83" i="9"/>
  <c r="K83" i="9"/>
  <c r="D84" i="9"/>
  <c r="E84" i="9"/>
  <c r="F84" i="9"/>
  <c r="G84" i="9"/>
  <c r="H84" i="9"/>
  <c r="I84" i="9"/>
  <c r="J84" i="9"/>
  <c r="K84" i="9"/>
  <c r="D85" i="9"/>
  <c r="E85" i="9"/>
  <c r="F85" i="9"/>
  <c r="G85" i="9"/>
  <c r="H85" i="9"/>
  <c r="I85" i="9"/>
  <c r="J85" i="9"/>
  <c r="K85" i="9"/>
  <c r="D86" i="9"/>
  <c r="E86" i="9"/>
  <c r="F86" i="9"/>
  <c r="G86" i="9"/>
  <c r="H86" i="9"/>
  <c r="I86" i="9"/>
  <c r="J86" i="9"/>
  <c r="K86" i="9"/>
  <c r="D87" i="9"/>
  <c r="E87" i="9"/>
  <c r="F87" i="9"/>
  <c r="G87" i="9"/>
  <c r="H87" i="9"/>
  <c r="I87" i="9"/>
  <c r="J87" i="9"/>
  <c r="K87" i="9"/>
  <c r="D88" i="9"/>
  <c r="E88" i="9"/>
  <c r="F88" i="9"/>
  <c r="G88" i="9"/>
  <c r="H88" i="9"/>
  <c r="I88" i="9"/>
  <c r="J88" i="9"/>
  <c r="K88" i="9"/>
  <c r="C88" i="9"/>
  <c r="C87" i="9"/>
  <c r="C86" i="9"/>
  <c r="C84" i="9"/>
  <c r="C85" i="9"/>
  <c r="C82" i="9"/>
  <c r="C83" i="9"/>
  <c r="C80" i="9"/>
  <c r="C81" i="9"/>
  <c r="C79" i="9"/>
  <c r="C78" i="9"/>
  <c r="E101" i="9" l="1"/>
  <c r="K111" i="9"/>
  <c r="D101" i="9"/>
  <c r="I111" i="9"/>
  <c r="G111" i="9"/>
  <c r="D111" i="9"/>
  <c r="J101" i="9"/>
  <c r="J111" i="9"/>
  <c r="G101" i="9"/>
  <c r="F101" i="9"/>
  <c r="E89" i="9"/>
  <c r="H111" i="9"/>
  <c r="F111" i="9"/>
  <c r="D89" i="9"/>
  <c r="C101" i="9"/>
  <c r="H101" i="9"/>
  <c r="G89" i="9"/>
  <c r="I101" i="9"/>
  <c r="F89" i="9"/>
  <c r="K89" i="9"/>
  <c r="C89" i="9"/>
  <c r="K101" i="9"/>
  <c r="I89" i="9"/>
  <c r="J89" i="9"/>
  <c r="H89" i="9"/>
  <c r="E35" i="21" l="1"/>
  <c r="E33" i="21"/>
  <c r="E32" i="21"/>
  <c r="B2" i="14"/>
  <c r="E22" i="21"/>
  <c r="I9" i="21"/>
  <c r="H5" i="21"/>
  <c r="I5" i="21" s="1"/>
  <c r="J5" i="21" s="1"/>
  <c r="K5" i="21" s="1"/>
  <c r="L5" i="21" s="1"/>
  <c r="H2" i="21"/>
  <c r="I2" i="21" s="1"/>
  <c r="J2" i="21" s="1"/>
  <c r="K2" i="21" s="1"/>
  <c r="L2" i="21" s="1"/>
  <c r="I52" i="19"/>
  <c r="J52" i="19"/>
  <c r="K52" i="19"/>
  <c r="H52" i="19"/>
  <c r="H49" i="19"/>
  <c r="I49" i="19"/>
  <c r="J49" i="19"/>
  <c r="K49" i="19"/>
  <c r="G49" i="19"/>
  <c r="I46" i="19"/>
  <c r="J46" i="19"/>
  <c r="K46" i="19"/>
  <c r="H46" i="19"/>
  <c r="H45" i="19"/>
  <c r="I45" i="19"/>
  <c r="J45" i="19"/>
  <c r="K45" i="19"/>
  <c r="G45" i="19"/>
  <c r="L27" i="9"/>
  <c r="L21" i="9"/>
  <c r="H35" i="19"/>
  <c r="I35" i="19"/>
  <c r="J35" i="19"/>
  <c r="K35" i="19"/>
  <c r="G35" i="19"/>
  <c r="H33" i="19"/>
  <c r="I33" i="19"/>
  <c r="J33" i="19"/>
  <c r="K33" i="19"/>
  <c r="G33" i="19"/>
  <c r="H32" i="19"/>
  <c r="I32" i="19"/>
  <c r="J32" i="19"/>
  <c r="K32" i="19"/>
  <c r="G32" i="19"/>
  <c r="H31" i="19"/>
  <c r="I31" i="19"/>
  <c r="J31" i="19"/>
  <c r="K31" i="19"/>
  <c r="G31" i="19"/>
  <c r="H22" i="19"/>
  <c r="I22" i="19"/>
  <c r="J22" i="19"/>
  <c r="K22" i="19"/>
  <c r="H23" i="19"/>
  <c r="I23" i="19"/>
  <c r="J23" i="19"/>
  <c r="K23" i="19"/>
  <c r="H24" i="19"/>
  <c r="I24" i="19"/>
  <c r="J24" i="19"/>
  <c r="K24" i="19"/>
  <c r="H25" i="19"/>
  <c r="I25" i="19"/>
  <c r="J25" i="19"/>
  <c r="K25" i="19"/>
  <c r="H26" i="19"/>
  <c r="I26" i="19"/>
  <c r="J26" i="19"/>
  <c r="K26" i="19"/>
  <c r="H27" i="19"/>
  <c r="I27" i="19"/>
  <c r="J27" i="19"/>
  <c r="K27" i="19"/>
  <c r="H28" i="19"/>
  <c r="I28" i="19"/>
  <c r="J28" i="19"/>
  <c r="K28" i="19"/>
  <c r="H29" i="19"/>
  <c r="I29" i="19"/>
  <c r="J29" i="19"/>
  <c r="K29" i="19"/>
  <c r="H30" i="19"/>
  <c r="I30" i="19"/>
  <c r="J30" i="19"/>
  <c r="K30" i="19"/>
  <c r="G29" i="19"/>
  <c r="G30" i="19"/>
  <c r="G28" i="19"/>
  <c r="G27" i="19"/>
  <c r="G26" i="19"/>
  <c r="G24" i="19"/>
  <c r="G25" i="19"/>
  <c r="G23" i="19"/>
  <c r="G22" i="19"/>
  <c r="K17" i="19"/>
  <c r="G17" i="19"/>
  <c r="H14" i="19"/>
  <c r="H17" i="19" s="1"/>
  <c r="I14" i="19"/>
  <c r="I17" i="19" s="1"/>
  <c r="J14" i="19"/>
  <c r="J17" i="19" s="1"/>
  <c r="K14" i="19"/>
  <c r="H15" i="19"/>
  <c r="I15" i="19"/>
  <c r="J15" i="19"/>
  <c r="K15" i="19"/>
  <c r="H16" i="19"/>
  <c r="I16" i="19"/>
  <c r="J16" i="19"/>
  <c r="K16" i="19"/>
  <c r="G15" i="19"/>
  <c r="G16" i="19"/>
  <c r="G14" i="19"/>
  <c r="H7" i="19"/>
  <c r="H11" i="19" s="1"/>
  <c r="I7" i="19"/>
  <c r="I11" i="19" s="1"/>
  <c r="J7" i="19"/>
  <c r="K7" i="19"/>
  <c r="H8" i="19"/>
  <c r="I8" i="19"/>
  <c r="J8" i="19"/>
  <c r="K8" i="19"/>
  <c r="H9" i="19"/>
  <c r="I9" i="19"/>
  <c r="J9" i="19"/>
  <c r="K9" i="19"/>
  <c r="H10" i="19"/>
  <c r="I10" i="19"/>
  <c r="J10" i="19"/>
  <c r="J11" i="19" s="1"/>
  <c r="J19" i="19" s="1"/>
  <c r="K10" i="19"/>
  <c r="K11" i="19" s="1"/>
  <c r="K19" i="19" s="1"/>
  <c r="G10" i="19"/>
  <c r="G9" i="19"/>
  <c r="G11" i="19" s="1"/>
  <c r="G19" i="19" s="1"/>
  <c r="G8" i="19"/>
  <c r="G7" i="19"/>
  <c r="N29" i="20"/>
  <c r="M29" i="20"/>
  <c r="L29" i="20"/>
  <c r="K29" i="20"/>
  <c r="J29" i="20"/>
  <c r="I29" i="20"/>
  <c r="H29" i="20"/>
  <c r="G29" i="20"/>
  <c r="F29" i="20"/>
  <c r="E29" i="20"/>
  <c r="D29" i="20"/>
  <c r="C29" i="20"/>
  <c r="D2" i="20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J9" i="21" l="1"/>
  <c r="I19" i="19"/>
  <c r="H19" i="19"/>
  <c r="G9" i="17"/>
  <c r="K9" i="21" l="1"/>
  <c r="L9" i="21" l="1"/>
  <c r="G5" i="17" l="1"/>
  <c r="G7" i="17" s="1"/>
  <c r="F17" i="14"/>
  <c r="F16" i="14"/>
  <c r="E11" i="14"/>
  <c r="E12" i="14"/>
  <c r="E13" i="14"/>
  <c r="D11" i="14"/>
  <c r="D12" i="14"/>
  <c r="D13" i="14"/>
  <c r="H12" i="14" l="1"/>
  <c r="G13" i="14"/>
  <c r="H13" i="14"/>
  <c r="G12" i="14"/>
  <c r="BC8" i="15"/>
  <c r="AW112" i="15"/>
  <c r="AW111" i="15"/>
  <c r="AW110" i="15"/>
  <c r="AW109" i="15"/>
  <c r="AW108" i="15"/>
  <c r="AW107" i="15"/>
  <c r="AW106" i="15"/>
  <c r="AW105" i="15"/>
  <c r="AW104" i="15"/>
  <c r="AW103" i="15"/>
  <c r="AW102" i="15"/>
  <c r="AW101" i="15"/>
  <c r="AW100" i="15"/>
  <c r="AW99" i="15"/>
  <c r="AW98" i="15"/>
  <c r="AW97" i="15"/>
  <c r="AW96" i="15"/>
  <c r="AW95" i="15"/>
  <c r="AW94" i="15"/>
  <c r="AW93" i="15"/>
  <c r="AW92" i="15"/>
  <c r="AW91" i="15"/>
  <c r="AW90" i="15"/>
  <c r="AW89" i="15"/>
  <c r="AW88" i="15"/>
  <c r="AW87" i="15"/>
  <c r="AW86" i="15"/>
  <c r="AW85" i="15"/>
  <c r="AW84" i="15"/>
  <c r="AW83" i="15"/>
  <c r="AW82" i="15"/>
  <c r="AW81" i="15"/>
  <c r="AW80" i="15"/>
  <c r="AW79" i="15"/>
  <c r="AW78" i="15"/>
  <c r="AW77" i="15"/>
  <c r="AW76" i="15"/>
  <c r="AW75" i="15"/>
  <c r="AW74" i="15"/>
  <c r="AW73" i="15"/>
  <c r="AW72" i="15"/>
  <c r="AW71" i="15"/>
  <c r="AW70" i="15"/>
  <c r="AW69" i="15"/>
  <c r="AW68" i="15"/>
  <c r="AW67" i="15"/>
  <c r="AW66" i="15"/>
  <c r="AW65" i="15"/>
  <c r="AW64" i="15"/>
  <c r="AW63" i="15"/>
  <c r="AW62" i="15"/>
  <c r="AW61" i="15"/>
  <c r="AW60" i="15"/>
  <c r="AW59" i="15"/>
  <c r="AW58" i="15"/>
  <c r="AW57" i="15"/>
  <c r="AW56" i="15"/>
  <c r="AW55" i="15"/>
  <c r="AW54" i="15"/>
  <c r="AW53" i="15"/>
  <c r="AW52" i="15"/>
  <c r="AW51" i="15"/>
  <c r="AW50" i="15"/>
  <c r="AW49" i="15"/>
  <c r="AW48" i="15"/>
  <c r="AW47" i="15"/>
  <c r="AW46" i="15"/>
  <c r="AW45" i="15"/>
  <c r="AW44" i="15"/>
  <c r="AW43" i="15"/>
  <c r="AW42" i="15"/>
  <c r="AW41" i="15"/>
  <c r="AW40" i="15"/>
  <c r="AW39" i="15"/>
  <c r="AW38" i="15"/>
  <c r="AW37" i="15"/>
  <c r="AW36" i="15"/>
  <c r="AW35" i="15"/>
  <c r="AW34" i="15"/>
  <c r="AW33" i="15"/>
  <c r="AW32" i="15"/>
  <c r="AW31" i="15"/>
  <c r="AW30" i="15"/>
  <c r="AW29" i="15"/>
  <c r="AW28" i="15"/>
  <c r="AW27" i="15"/>
  <c r="AW26" i="15"/>
  <c r="AW25" i="15"/>
  <c r="AW24" i="15"/>
  <c r="AW23" i="15"/>
  <c r="AW22" i="15"/>
  <c r="AW21" i="15"/>
  <c r="AW20" i="15"/>
  <c r="AW19" i="15"/>
  <c r="AW18" i="15"/>
  <c r="AW17" i="15"/>
  <c r="AW16" i="15"/>
  <c r="AW15" i="15"/>
  <c r="AW14" i="15"/>
  <c r="AW13" i="15"/>
  <c r="AW12" i="15"/>
  <c r="AW11" i="15"/>
  <c r="AW10" i="15"/>
  <c r="AW9" i="15"/>
  <c r="AW8" i="15"/>
  <c r="AO8" i="15"/>
  <c r="AZ6" i="15" l="1"/>
  <c r="AZ12" i="15" s="1"/>
  <c r="I13" i="14" s="1"/>
  <c r="J13" i="14" s="1"/>
  <c r="AL6" i="15"/>
  <c r="AL12" i="15" s="1"/>
  <c r="I12" i="14" s="1"/>
  <c r="J12" i="14" s="1"/>
  <c r="AI112" i="15"/>
  <c r="AI111" i="15"/>
  <c r="AI110" i="15"/>
  <c r="AI109" i="15"/>
  <c r="AI108" i="15"/>
  <c r="AI107" i="15"/>
  <c r="AI106" i="15"/>
  <c r="AI105" i="15"/>
  <c r="AI104" i="15"/>
  <c r="AI103" i="15"/>
  <c r="AI102" i="15"/>
  <c r="AI101" i="15"/>
  <c r="AI100" i="15"/>
  <c r="AI99" i="15"/>
  <c r="AI98" i="15"/>
  <c r="AI97" i="15"/>
  <c r="AI96" i="15"/>
  <c r="AI95" i="15"/>
  <c r="AI94" i="15"/>
  <c r="AI93" i="15"/>
  <c r="AI92" i="15"/>
  <c r="AI91" i="15"/>
  <c r="AI90" i="15"/>
  <c r="AI89" i="15"/>
  <c r="AI88" i="15"/>
  <c r="AI87" i="15"/>
  <c r="AI86" i="15"/>
  <c r="AI85" i="15"/>
  <c r="AI84" i="15"/>
  <c r="AI83" i="15"/>
  <c r="AI82" i="15"/>
  <c r="AI81" i="15"/>
  <c r="AI80" i="15"/>
  <c r="AI79" i="15"/>
  <c r="AI78" i="15"/>
  <c r="AI77" i="15"/>
  <c r="AI76" i="15"/>
  <c r="AI75" i="15"/>
  <c r="AI74" i="15"/>
  <c r="AI73" i="15"/>
  <c r="AI72" i="15"/>
  <c r="AI71" i="15"/>
  <c r="AI70" i="15"/>
  <c r="AI69" i="15"/>
  <c r="AI68" i="15"/>
  <c r="AI67" i="15"/>
  <c r="AI66" i="15"/>
  <c r="AI65" i="15"/>
  <c r="AI64" i="15"/>
  <c r="AI63" i="15"/>
  <c r="AI62" i="15"/>
  <c r="AI61" i="15"/>
  <c r="AI60" i="15"/>
  <c r="AI59" i="15"/>
  <c r="AI58" i="15"/>
  <c r="AI57" i="15"/>
  <c r="AI56" i="15"/>
  <c r="AI55" i="15"/>
  <c r="AI54" i="15"/>
  <c r="AI53" i="15"/>
  <c r="AI52" i="15"/>
  <c r="AI51" i="15"/>
  <c r="AI50" i="15"/>
  <c r="AI49" i="15"/>
  <c r="AI48" i="15"/>
  <c r="AI47" i="15"/>
  <c r="AI46" i="15"/>
  <c r="AI45" i="15"/>
  <c r="AI44" i="15"/>
  <c r="AI43" i="15"/>
  <c r="AI42" i="15"/>
  <c r="AI41" i="15"/>
  <c r="AI40" i="15"/>
  <c r="AI39" i="15"/>
  <c r="AI38" i="15"/>
  <c r="AI37" i="15"/>
  <c r="AI36" i="15"/>
  <c r="AI35" i="15"/>
  <c r="AI34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A8" i="15"/>
  <c r="X6" i="15"/>
  <c r="X12" i="15" s="1"/>
  <c r="I11" i="14" s="1"/>
  <c r="U112" i="15"/>
  <c r="U111" i="15"/>
  <c r="U110" i="15"/>
  <c r="U109" i="15"/>
  <c r="U108" i="15"/>
  <c r="U107" i="15"/>
  <c r="U106" i="15"/>
  <c r="U105" i="15"/>
  <c r="U104" i="15"/>
  <c r="U103" i="15"/>
  <c r="U102" i="15"/>
  <c r="U101" i="15"/>
  <c r="U100" i="15"/>
  <c r="U99" i="15"/>
  <c r="U98" i="15"/>
  <c r="U97" i="15"/>
  <c r="U96" i="15"/>
  <c r="U95" i="15"/>
  <c r="U94" i="15"/>
  <c r="U93" i="15"/>
  <c r="U92" i="15"/>
  <c r="U91" i="15"/>
  <c r="U90" i="15"/>
  <c r="U89" i="15"/>
  <c r="U88" i="15"/>
  <c r="U87" i="15"/>
  <c r="U86" i="15"/>
  <c r="U85" i="15"/>
  <c r="U84" i="15"/>
  <c r="U83" i="15"/>
  <c r="U82" i="15"/>
  <c r="U81" i="15"/>
  <c r="U80" i="15"/>
  <c r="U79" i="15"/>
  <c r="U78" i="15"/>
  <c r="U77" i="15"/>
  <c r="U76" i="15"/>
  <c r="U75" i="15"/>
  <c r="U74" i="15"/>
  <c r="U73" i="15"/>
  <c r="U72" i="15"/>
  <c r="U71" i="15"/>
  <c r="U70" i="15"/>
  <c r="U69" i="15"/>
  <c r="U68" i="15"/>
  <c r="U67" i="15"/>
  <c r="U66" i="15"/>
  <c r="U65" i="15"/>
  <c r="U64" i="15"/>
  <c r="U63" i="15"/>
  <c r="U62" i="15"/>
  <c r="U61" i="15"/>
  <c r="U60" i="15"/>
  <c r="U59" i="15"/>
  <c r="U58" i="15"/>
  <c r="U57" i="15"/>
  <c r="U56" i="15"/>
  <c r="U55" i="15"/>
  <c r="U54" i="15"/>
  <c r="U53" i="15"/>
  <c r="U52" i="15"/>
  <c r="U51" i="15"/>
  <c r="U50" i="15"/>
  <c r="U49" i="15"/>
  <c r="U48" i="15"/>
  <c r="U47" i="15"/>
  <c r="U46" i="15"/>
  <c r="U45" i="15"/>
  <c r="U44" i="15"/>
  <c r="U43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30" i="15"/>
  <c r="U29" i="15"/>
  <c r="U28" i="15"/>
  <c r="U27" i="15"/>
  <c r="U26" i="15"/>
  <c r="U25" i="15"/>
  <c r="U24" i="15"/>
  <c r="U23" i="15"/>
  <c r="U22" i="15"/>
  <c r="U21" i="15"/>
  <c r="U20" i="15"/>
  <c r="U19" i="15"/>
  <c r="U18" i="15"/>
  <c r="U17" i="15"/>
  <c r="U16" i="15"/>
  <c r="U15" i="15"/>
  <c r="U14" i="15"/>
  <c r="U13" i="15"/>
  <c r="U12" i="15"/>
  <c r="U11" i="15"/>
  <c r="U10" i="15"/>
  <c r="U9" i="15"/>
  <c r="U8" i="15"/>
  <c r="M8" i="15"/>
  <c r="J6" i="15" l="1"/>
  <c r="J12" i="15" s="1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B4" i="15"/>
  <c r="E23" i="14"/>
  <c r="J32" i="14" s="1"/>
  <c r="C32" i="14"/>
  <c r="C31" i="14"/>
  <c r="D64" i="9"/>
  <c r="E64" i="9"/>
  <c r="F64" i="9"/>
  <c r="G64" i="9"/>
  <c r="H64" i="9"/>
  <c r="I64" i="9"/>
  <c r="J64" i="9"/>
  <c r="K64" i="9"/>
  <c r="C64" i="9"/>
  <c r="D67" i="9"/>
  <c r="E67" i="9"/>
  <c r="F67" i="9"/>
  <c r="G67" i="9"/>
  <c r="H67" i="9"/>
  <c r="I67" i="9"/>
  <c r="J67" i="9"/>
  <c r="K67" i="9"/>
  <c r="D68" i="9"/>
  <c r="E68" i="9"/>
  <c r="F68" i="9"/>
  <c r="G68" i="9"/>
  <c r="H68" i="9"/>
  <c r="I68" i="9"/>
  <c r="J68" i="9"/>
  <c r="K68" i="9"/>
  <c r="D69" i="9"/>
  <c r="E69" i="9"/>
  <c r="F69" i="9"/>
  <c r="G69" i="9"/>
  <c r="H69" i="9"/>
  <c r="I69" i="9"/>
  <c r="J69" i="9"/>
  <c r="K69" i="9"/>
  <c r="C68" i="9"/>
  <c r="C69" i="9"/>
  <c r="C67" i="9"/>
  <c r="D61" i="9"/>
  <c r="E61" i="9"/>
  <c r="F61" i="9"/>
  <c r="G61" i="9"/>
  <c r="H61" i="9"/>
  <c r="I61" i="9"/>
  <c r="J61" i="9"/>
  <c r="K61" i="9"/>
  <c r="D62" i="9"/>
  <c r="E62" i="9"/>
  <c r="F62" i="9"/>
  <c r="G62" i="9"/>
  <c r="H62" i="9"/>
  <c r="I62" i="9"/>
  <c r="J62" i="9"/>
  <c r="K62" i="9"/>
  <c r="D63" i="9"/>
  <c r="E63" i="9"/>
  <c r="F63" i="9"/>
  <c r="G63" i="9"/>
  <c r="H63" i="9"/>
  <c r="I63" i="9"/>
  <c r="J63" i="9"/>
  <c r="K63" i="9"/>
  <c r="C62" i="9"/>
  <c r="C63" i="9"/>
  <c r="C61" i="9"/>
  <c r="D55" i="9"/>
  <c r="E55" i="9"/>
  <c r="F55" i="9"/>
  <c r="G55" i="9"/>
  <c r="H55" i="9"/>
  <c r="I55" i="9"/>
  <c r="J55" i="9"/>
  <c r="K55" i="9"/>
  <c r="D56" i="9"/>
  <c r="E56" i="9"/>
  <c r="F56" i="9"/>
  <c r="G56" i="9"/>
  <c r="H56" i="9"/>
  <c r="I56" i="9"/>
  <c r="J56" i="9"/>
  <c r="K56" i="9"/>
  <c r="D57" i="9"/>
  <c r="D40" i="23" s="1"/>
  <c r="E57" i="9"/>
  <c r="E40" i="23" s="1"/>
  <c r="F57" i="9"/>
  <c r="F40" i="23" s="1"/>
  <c r="G57" i="9"/>
  <c r="G40" i="23" s="1"/>
  <c r="H57" i="9"/>
  <c r="H40" i="23" s="1"/>
  <c r="I57" i="9"/>
  <c r="I40" i="23" s="1"/>
  <c r="J57" i="9"/>
  <c r="J40" i="23" s="1"/>
  <c r="K57" i="9"/>
  <c r="K40" i="23" s="1"/>
  <c r="D58" i="9"/>
  <c r="E58" i="9"/>
  <c r="F58" i="9"/>
  <c r="G58" i="9"/>
  <c r="H58" i="9"/>
  <c r="I58" i="9"/>
  <c r="J58" i="9"/>
  <c r="K58" i="9"/>
  <c r="D59" i="9"/>
  <c r="E59" i="9"/>
  <c r="F59" i="9"/>
  <c r="G59" i="9"/>
  <c r="H59" i="9"/>
  <c r="I59" i="9"/>
  <c r="J59" i="9"/>
  <c r="K59" i="9"/>
  <c r="C56" i="9"/>
  <c r="C57" i="9"/>
  <c r="C40" i="23" s="1"/>
  <c r="C58" i="9"/>
  <c r="C59" i="9"/>
  <c r="C55" i="9"/>
  <c r="D39" i="9"/>
  <c r="D44" i="9" s="1"/>
  <c r="E39" i="9"/>
  <c r="E44" i="9" s="1"/>
  <c r="F39" i="9"/>
  <c r="F44" i="9" s="1"/>
  <c r="F9" i="23" s="1"/>
  <c r="G39" i="9"/>
  <c r="G44" i="9" s="1"/>
  <c r="H39" i="9"/>
  <c r="H44" i="9" s="1"/>
  <c r="H9" i="23" s="1"/>
  <c r="I39" i="9"/>
  <c r="I44" i="9" s="1"/>
  <c r="I9" i="23" s="1"/>
  <c r="J39" i="9"/>
  <c r="J44" i="9" s="1"/>
  <c r="K39" i="9"/>
  <c r="K44" i="9" s="1"/>
  <c r="K9" i="23" s="1"/>
  <c r="L39" i="9"/>
  <c r="L44" i="9" s="1"/>
  <c r="C39" i="9"/>
  <c r="C44" i="9" s="1"/>
  <c r="L33" i="9"/>
  <c r="D33" i="9"/>
  <c r="E33" i="9"/>
  <c r="F33" i="9"/>
  <c r="G33" i="9"/>
  <c r="H33" i="9"/>
  <c r="I33" i="9"/>
  <c r="J33" i="9"/>
  <c r="K33" i="9"/>
  <c r="C33" i="9"/>
  <c r="L9" i="9"/>
  <c r="D21" i="9"/>
  <c r="E21" i="9"/>
  <c r="F21" i="9"/>
  <c r="G21" i="9"/>
  <c r="H21" i="9"/>
  <c r="I21" i="9"/>
  <c r="J21" i="9"/>
  <c r="K21" i="9"/>
  <c r="C21" i="9"/>
  <c r="D27" i="9"/>
  <c r="E27" i="9"/>
  <c r="F27" i="9"/>
  <c r="G27" i="9"/>
  <c r="H27" i="9"/>
  <c r="I27" i="9"/>
  <c r="J27" i="9"/>
  <c r="K27" i="9"/>
  <c r="C27" i="9"/>
  <c r="L15" i="9"/>
  <c r="C6" i="9"/>
  <c r="D15" i="9"/>
  <c r="E15" i="9"/>
  <c r="F15" i="9"/>
  <c r="G15" i="9"/>
  <c r="H15" i="9"/>
  <c r="I15" i="9"/>
  <c r="J15" i="9"/>
  <c r="K15" i="9"/>
  <c r="C15" i="9"/>
  <c r="D9" i="9"/>
  <c r="E9" i="9"/>
  <c r="F9" i="9"/>
  <c r="G9" i="9"/>
  <c r="H9" i="9"/>
  <c r="I9" i="9"/>
  <c r="J9" i="9"/>
  <c r="K9" i="9"/>
  <c r="C9" i="9"/>
  <c r="L6" i="9"/>
  <c r="D6" i="9"/>
  <c r="E6" i="9"/>
  <c r="F6" i="9"/>
  <c r="G6" i="9"/>
  <c r="H6" i="9"/>
  <c r="I6" i="9"/>
  <c r="J6" i="9"/>
  <c r="K6" i="9"/>
  <c r="B2" i="9"/>
  <c r="K3" i="9"/>
  <c r="D3" i="9"/>
  <c r="E3" i="9"/>
  <c r="F3" i="9"/>
  <c r="G3" i="9"/>
  <c r="H3" i="9"/>
  <c r="I3" i="9"/>
  <c r="J3" i="9"/>
  <c r="C3" i="9"/>
  <c r="B6" i="6"/>
  <c r="E1" i="6"/>
  <c r="J9" i="23" l="1"/>
  <c r="E9" i="23"/>
  <c r="D28" i="23"/>
  <c r="D34" i="23" s="1"/>
  <c r="D30" i="23"/>
  <c r="D27" i="23"/>
  <c r="D33" i="23" s="1"/>
  <c r="D31" i="23"/>
  <c r="D29" i="23"/>
  <c r="D35" i="23" s="1"/>
  <c r="D38" i="23"/>
  <c r="K30" i="23"/>
  <c r="K29" i="23"/>
  <c r="K35" i="23" s="1"/>
  <c r="K27" i="23"/>
  <c r="K33" i="23" s="1"/>
  <c r="K31" i="23"/>
  <c r="K28" i="23"/>
  <c r="K34" i="23" s="1"/>
  <c r="K36" i="23" s="1"/>
  <c r="K38" i="23"/>
  <c r="G9" i="23"/>
  <c r="C29" i="23"/>
  <c r="C30" i="23"/>
  <c r="C31" i="23"/>
  <c r="C27" i="23"/>
  <c r="C28" i="23"/>
  <c r="C38" i="23"/>
  <c r="J30" i="23"/>
  <c r="J28" i="23"/>
  <c r="J34" i="23" s="1"/>
  <c r="J27" i="23"/>
  <c r="J33" i="23" s="1"/>
  <c r="J31" i="23"/>
  <c r="J29" i="23"/>
  <c r="J35" i="23" s="1"/>
  <c r="J38" i="23"/>
  <c r="I30" i="23"/>
  <c r="I28" i="23"/>
  <c r="I34" i="23" s="1"/>
  <c r="I31" i="23"/>
  <c r="I27" i="23"/>
  <c r="I33" i="23" s="1"/>
  <c r="I29" i="23"/>
  <c r="I35" i="23" s="1"/>
  <c r="I38" i="23"/>
  <c r="D9" i="23"/>
  <c r="N40" i="23"/>
  <c r="M40" i="23"/>
  <c r="H28" i="23"/>
  <c r="H34" i="23" s="1"/>
  <c r="H31" i="23"/>
  <c r="H29" i="23"/>
  <c r="H35" i="23" s="1"/>
  <c r="H30" i="23"/>
  <c r="H27" i="23"/>
  <c r="H33" i="23" s="1"/>
  <c r="H38" i="23"/>
  <c r="G30" i="23"/>
  <c r="G29" i="23"/>
  <c r="G35" i="23" s="1"/>
  <c r="G27" i="23"/>
  <c r="G33" i="23" s="1"/>
  <c r="G28" i="23"/>
  <c r="G34" i="23" s="1"/>
  <c r="G36" i="23" s="1"/>
  <c r="G31" i="23"/>
  <c r="G38" i="23"/>
  <c r="F27" i="23"/>
  <c r="F33" i="23" s="1"/>
  <c r="F28" i="23"/>
  <c r="F34" i="23" s="1"/>
  <c r="F30" i="23"/>
  <c r="F31" i="23"/>
  <c r="F29" i="23"/>
  <c r="F35" i="23" s="1"/>
  <c r="F38" i="23"/>
  <c r="E27" i="23"/>
  <c r="E33" i="23" s="1"/>
  <c r="E29" i="23"/>
  <c r="E35" i="23" s="1"/>
  <c r="E28" i="23"/>
  <c r="E34" i="23" s="1"/>
  <c r="E30" i="23"/>
  <c r="E31" i="23"/>
  <c r="E38" i="23"/>
  <c r="BC7" i="15"/>
  <c r="BC6" i="15"/>
  <c r="I17" i="14"/>
  <c r="I16" i="14"/>
  <c r="H7" i="9"/>
  <c r="H5" i="23" s="1"/>
  <c r="AO7" i="15"/>
  <c r="AO6" i="15"/>
  <c r="AA6" i="15"/>
  <c r="AA7" i="15"/>
  <c r="M7" i="15"/>
  <c r="M6" i="15"/>
  <c r="G11" i="14"/>
  <c r="E24" i="14"/>
  <c r="J40" i="14" s="1"/>
  <c r="C33" i="14"/>
  <c r="D33" i="14" s="1"/>
  <c r="E33" i="14" s="1"/>
  <c r="H11" i="14"/>
  <c r="H65" i="9"/>
  <c r="H72" i="9" s="1"/>
  <c r="C65" i="9"/>
  <c r="I70" i="9"/>
  <c r="E28" i="9"/>
  <c r="L28" i="9"/>
  <c r="C111" i="9"/>
  <c r="D65" i="9"/>
  <c r="G70" i="9"/>
  <c r="K65" i="9"/>
  <c r="F70" i="9"/>
  <c r="G65" i="9"/>
  <c r="H70" i="9"/>
  <c r="E70" i="9"/>
  <c r="I65" i="9"/>
  <c r="J65" i="9"/>
  <c r="F65" i="9"/>
  <c r="E65" i="9"/>
  <c r="J70" i="9"/>
  <c r="C70" i="9"/>
  <c r="D70" i="9"/>
  <c r="K70" i="9"/>
  <c r="I10" i="9"/>
  <c r="H10" i="9"/>
  <c r="F22" i="9"/>
  <c r="F18" i="23" s="1"/>
  <c r="G10" i="9"/>
  <c r="F10" i="9"/>
  <c r="D10" i="9"/>
  <c r="E16" i="9"/>
  <c r="E17" i="23" s="1"/>
  <c r="D16" i="9"/>
  <c r="D17" i="23" s="1"/>
  <c r="D22" i="9"/>
  <c r="D18" i="23" s="1"/>
  <c r="E12" i="9"/>
  <c r="E18" i="9" s="1"/>
  <c r="G28" i="9"/>
  <c r="C10" i="9"/>
  <c r="E22" i="9"/>
  <c r="E18" i="23" s="1"/>
  <c r="H28" i="9"/>
  <c r="F28" i="9"/>
  <c r="J28" i="9"/>
  <c r="H16" i="9"/>
  <c r="H17" i="23" s="1"/>
  <c r="G16" i="9"/>
  <c r="G17" i="23" s="1"/>
  <c r="K10" i="9"/>
  <c r="J16" i="9"/>
  <c r="J17" i="23" s="1"/>
  <c r="F16" i="9"/>
  <c r="F17" i="23" s="1"/>
  <c r="F12" i="9"/>
  <c r="D7" i="9"/>
  <c r="D5" i="23" s="1"/>
  <c r="L7" i="9"/>
  <c r="K7" i="9"/>
  <c r="K5" i="23" s="1"/>
  <c r="I28" i="9"/>
  <c r="I16" i="9"/>
  <c r="I17" i="23" s="1"/>
  <c r="G12" i="9"/>
  <c r="J22" i="9"/>
  <c r="J18" i="23" s="1"/>
  <c r="I7" i="9"/>
  <c r="I5" i="23" s="1"/>
  <c r="H12" i="9"/>
  <c r="K22" i="9"/>
  <c r="K18" i="23" s="1"/>
  <c r="I12" i="9"/>
  <c r="G7" i="9"/>
  <c r="G5" i="23" s="1"/>
  <c r="J12" i="9"/>
  <c r="I22" i="9"/>
  <c r="I18" i="23" s="1"/>
  <c r="F7" i="9"/>
  <c r="F5" i="23" s="1"/>
  <c r="K12" i="9"/>
  <c r="K13" i="9" s="1"/>
  <c r="K11" i="23" s="1"/>
  <c r="C28" i="9"/>
  <c r="H22" i="9"/>
  <c r="H18" i="23" s="1"/>
  <c r="C16" i="9"/>
  <c r="C17" i="23" s="1"/>
  <c r="K28" i="9"/>
  <c r="G22" i="9"/>
  <c r="G18" i="23" s="1"/>
  <c r="L22" i="9"/>
  <c r="L10" i="9"/>
  <c r="J7" i="9"/>
  <c r="J5" i="23" s="1"/>
  <c r="D12" i="9"/>
  <c r="L16" i="9"/>
  <c r="E10" i="9"/>
  <c r="D28" i="9"/>
  <c r="K16" i="9"/>
  <c r="K17" i="23" s="1"/>
  <c r="E7" i="9"/>
  <c r="E5" i="23" s="1"/>
  <c r="C22" i="9"/>
  <c r="C18" i="23" s="1"/>
  <c r="J10" i="9"/>
  <c r="C12" i="9"/>
  <c r="L12" i="9"/>
  <c r="L13" i="9" s="1"/>
  <c r="J11" i="14" l="1"/>
  <c r="J17" i="14" s="1"/>
  <c r="J30" i="14" s="1"/>
  <c r="G17" i="14"/>
  <c r="G16" i="14"/>
  <c r="H17" i="14"/>
  <c r="H16" i="14"/>
  <c r="E31" i="14" s="1"/>
  <c r="E32" i="14" s="1"/>
  <c r="J38" i="14" s="1"/>
  <c r="M9" i="23"/>
  <c r="N31" i="23"/>
  <c r="M31" i="23"/>
  <c r="N18" i="23"/>
  <c r="N5" i="23"/>
  <c r="N17" i="23"/>
  <c r="E36" i="23"/>
  <c r="M18" i="23"/>
  <c r="M17" i="23"/>
  <c r="M38" i="23"/>
  <c r="N28" i="23"/>
  <c r="C34" i="23"/>
  <c r="M28" i="23"/>
  <c r="C72" i="9"/>
  <c r="C39" i="23" s="1"/>
  <c r="M30" i="23"/>
  <c r="N30" i="23"/>
  <c r="C35" i="23"/>
  <c r="N29" i="23"/>
  <c r="M29" i="23"/>
  <c r="I36" i="23"/>
  <c r="J36" i="23"/>
  <c r="M5" i="23"/>
  <c r="H36" i="23"/>
  <c r="N38" i="23"/>
  <c r="F36" i="23"/>
  <c r="N9" i="23"/>
  <c r="C33" i="23"/>
  <c r="M27" i="23"/>
  <c r="N27" i="23"/>
  <c r="D36" i="23"/>
  <c r="H74" i="9"/>
  <c r="H39" i="23"/>
  <c r="E24" i="9"/>
  <c r="E30" i="9"/>
  <c r="E25" i="9"/>
  <c r="E13" i="23" s="1"/>
  <c r="E19" i="23" s="1"/>
  <c r="J72" i="9"/>
  <c r="G113" i="9"/>
  <c r="K72" i="9"/>
  <c r="E72" i="9"/>
  <c r="D72" i="9"/>
  <c r="F72" i="9"/>
  <c r="J113" i="9"/>
  <c r="D32" i="14"/>
  <c r="D31" i="14"/>
  <c r="E113" i="9"/>
  <c r="I72" i="9"/>
  <c r="H113" i="9"/>
  <c r="D113" i="9"/>
  <c r="I113" i="9"/>
  <c r="C113" i="9"/>
  <c r="F113" i="9"/>
  <c r="K113" i="9"/>
  <c r="G72" i="9"/>
  <c r="E13" i="9"/>
  <c r="E11" i="23" s="1"/>
  <c r="L18" i="9"/>
  <c r="E19" i="9"/>
  <c r="E12" i="23" s="1"/>
  <c r="J18" i="9"/>
  <c r="J13" i="9"/>
  <c r="J11" i="23" s="1"/>
  <c r="I18" i="9"/>
  <c r="I13" i="9"/>
  <c r="I11" i="23" s="1"/>
  <c r="G18" i="9"/>
  <c r="G13" i="9"/>
  <c r="G11" i="23" s="1"/>
  <c r="C18" i="9"/>
  <c r="C13" i="9"/>
  <c r="C11" i="23" s="1"/>
  <c r="D18" i="9"/>
  <c r="E6" i="23" s="1"/>
  <c r="D13" i="9"/>
  <c r="D11" i="23" s="1"/>
  <c r="H18" i="9"/>
  <c r="H13" i="9"/>
  <c r="H11" i="23" s="1"/>
  <c r="K18" i="9"/>
  <c r="F18" i="9"/>
  <c r="F13" i="9"/>
  <c r="F11" i="23" s="1"/>
  <c r="J16" i="14" l="1"/>
  <c r="C74" i="9"/>
  <c r="M33" i="23"/>
  <c r="N33" i="23"/>
  <c r="C36" i="23"/>
  <c r="N34" i="23"/>
  <c r="M34" i="23"/>
  <c r="N35" i="23"/>
  <c r="M35" i="23"/>
  <c r="F74" i="9"/>
  <c r="F39" i="23"/>
  <c r="G74" i="9"/>
  <c r="G39" i="23"/>
  <c r="J74" i="9"/>
  <c r="J39" i="23"/>
  <c r="D74" i="9"/>
  <c r="D39" i="23"/>
  <c r="E74" i="9"/>
  <c r="E39" i="23"/>
  <c r="K74" i="9"/>
  <c r="K39" i="23"/>
  <c r="I74" i="9"/>
  <c r="I39" i="23"/>
  <c r="I24" i="9"/>
  <c r="I6" i="23"/>
  <c r="J24" i="9"/>
  <c r="J25" i="9" s="1"/>
  <c r="J13" i="23" s="1"/>
  <c r="J19" i="23" s="1"/>
  <c r="J6" i="23"/>
  <c r="F24" i="9"/>
  <c r="F25" i="9" s="1"/>
  <c r="F13" i="23" s="1"/>
  <c r="F19" i="23" s="1"/>
  <c r="F6" i="23"/>
  <c r="K24" i="9"/>
  <c r="K36" i="19" s="1"/>
  <c r="K6" i="23"/>
  <c r="N11" i="23"/>
  <c r="G24" i="9"/>
  <c r="G30" i="9" s="1"/>
  <c r="G6" i="23"/>
  <c r="M11" i="23"/>
  <c r="H24" i="9"/>
  <c r="H25" i="9" s="1"/>
  <c r="H13" i="23" s="1"/>
  <c r="H19" i="23" s="1"/>
  <c r="H6" i="23"/>
  <c r="D24" i="9"/>
  <c r="D6" i="23"/>
  <c r="C24" i="9"/>
  <c r="I4" i="24" a="1"/>
  <c r="E25" i="23"/>
  <c r="E21" i="23"/>
  <c r="J30" i="9"/>
  <c r="C25" i="9"/>
  <c r="C13" i="23" s="1"/>
  <c r="C30" i="9"/>
  <c r="I30" i="9"/>
  <c r="I36" i="19"/>
  <c r="I25" i="9"/>
  <c r="I13" i="23" s="1"/>
  <c r="I19" i="23" s="1"/>
  <c r="L19" i="9"/>
  <c r="L24" i="9"/>
  <c r="D35" i="14"/>
  <c r="J41" i="14"/>
  <c r="E35" i="14"/>
  <c r="J31" i="14" s="1"/>
  <c r="J33" i="14" s="1"/>
  <c r="J24" i="14" s="1"/>
  <c r="E36" i="9"/>
  <c r="E31" i="9"/>
  <c r="E14" i="23" s="1"/>
  <c r="E34" i="9"/>
  <c r="K19" i="9"/>
  <c r="K12" i="23" s="1"/>
  <c r="H19" i="9"/>
  <c r="H12" i="23" s="1"/>
  <c r="D19" i="9"/>
  <c r="D12" i="23" s="1"/>
  <c r="C19" i="9"/>
  <c r="C12" i="23" s="1"/>
  <c r="G19" i="9"/>
  <c r="G12" i="23" s="1"/>
  <c r="J19" i="9"/>
  <c r="J12" i="23" s="1"/>
  <c r="F19" i="9"/>
  <c r="F12" i="23" s="1"/>
  <c r="I19" i="9"/>
  <c r="I12" i="23" s="1"/>
  <c r="F30" i="9" l="1"/>
  <c r="F7" i="23" s="1"/>
  <c r="M6" i="23"/>
  <c r="N36" i="23"/>
  <c r="M36" i="23"/>
  <c r="J25" i="14"/>
  <c r="J37" i="14" s="1"/>
  <c r="J43" i="14" s="1"/>
  <c r="E16" i="21" s="1"/>
  <c r="M39" i="23"/>
  <c r="N39" i="23"/>
  <c r="J36" i="19"/>
  <c r="J48" i="19" s="1"/>
  <c r="G4" i="21"/>
  <c r="J7" i="23"/>
  <c r="K30" i="9"/>
  <c r="K7" i="23" s="1"/>
  <c r="K25" i="9"/>
  <c r="K13" i="23" s="1"/>
  <c r="K19" i="23" s="1"/>
  <c r="D25" i="23"/>
  <c r="D21" i="23"/>
  <c r="N12" i="23"/>
  <c r="H30" i="9"/>
  <c r="H7" i="23" s="1"/>
  <c r="F25" i="23"/>
  <c r="F21" i="23"/>
  <c r="C19" i="23"/>
  <c r="H21" i="23"/>
  <c r="H25" i="23"/>
  <c r="N6" i="23"/>
  <c r="D25" i="9"/>
  <c r="D13" i="23" s="1"/>
  <c r="D19" i="23" s="1"/>
  <c r="G21" i="23"/>
  <c r="G25" i="23"/>
  <c r="D30" i="9"/>
  <c r="D34" i="9" s="1"/>
  <c r="M12" i="23"/>
  <c r="H36" i="19"/>
  <c r="H48" i="19" s="1"/>
  <c r="K25" i="23"/>
  <c r="K21" i="23"/>
  <c r="I11" i="24"/>
  <c r="I12" i="24"/>
  <c r="I5" i="24"/>
  <c r="I6" i="24"/>
  <c r="J6" i="24" s="1"/>
  <c r="I7" i="24"/>
  <c r="I9" i="24"/>
  <c r="I10" i="24"/>
  <c r="J10" i="24" s="1"/>
  <c r="I4" i="24"/>
  <c r="I8" i="24"/>
  <c r="J25" i="23"/>
  <c r="J21" i="23"/>
  <c r="G36" i="19"/>
  <c r="G38" i="19" s="1"/>
  <c r="C21" i="23"/>
  <c r="C25" i="23"/>
  <c r="E23" i="23"/>
  <c r="G25" i="9"/>
  <c r="G13" i="23" s="1"/>
  <c r="G19" i="23" s="1"/>
  <c r="I21" i="23"/>
  <c r="I25" i="23"/>
  <c r="I48" i="19"/>
  <c r="I38" i="19"/>
  <c r="K48" i="19"/>
  <c r="K38" i="19"/>
  <c r="L25" i="9"/>
  <c r="L30" i="9"/>
  <c r="E41" i="9"/>
  <c r="E37" i="9"/>
  <c r="E15" i="23" s="1"/>
  <c r="J31" i="9"/>
  <c r="J14" i="23" s="1"/>
  <c r="J36" i="9"/>
  <c r="J34" i="9"/>
  <c r="G36" i="9"/>
  <c r="G31" i="9"/>
  <c r="G14" i="23" s="1"/>
  <c r="G34" i="9"/>
  <c r="C36" i="9"/>
  <c r="C23" i="23" s="1"/>
  <c r="C34" i="9"/>
  <c r="C31" i="9"/>
  <c r="C14" i="23" s="1"/>
  <c r="I31" i="9"/>
  <c r="I14" i="23" s="1"/>
  <c r="I36" i="9"/>
  <c r="I34" i="9"/>
  <c r="F36" i="9" l="1"/>
  <c r="G7" i="23"/>
  <c r="F31" i="9"/>
  <c r="F14" i="23" s="1"/>
  <c r="H34" i="9"/>
  <c r="H36" i="9"/>
  <c r="I8" i="23" s="1"/>
  <c r="J7" i="24"/>
  <c r="I7" i="23"/>
  <c r="F34" i="9"/>
  <c r="H31" i="9"/>
  <c r="H14" i="23" s="1"/>
  <c r="D31" i="9"/>
  <c r="D14" i="23" s="1"/>
  <c r="J12" i="24"/>
  <c r="D36" i="9"/>
  <c r="D23" i="23" s="1"/>
  <c r="H38" i="19"/>
  <c r="H50" i="19" s="1"/>
  <c r="H54" i="19" s="1"/>
  <c r="K36" i="9"/>
  <c r="K8" i="23" s="1"/>
  <c r="K31" i="9"/>
  <c r="K14" i="23" s="1"/>
  <c r="J38" i="19"/>
  <c r="J50" i="19" s="1"/>
  <c r="J54" i="19" s="1"/>
  <c r="J61" i="19" s="1"/>
  <c r="G6" i="21"/>
  <c r="K34" i="9"/>
  <c r="H10" i="21"/>
  <c r="L10" i="21"/>
  <c r="E21" i="21"/>
  <c r="I10" i="21"/>
  <c r="K10" i="21"/>
  <c r="J10" i="21"/>
  <c r="G48" i="19"/>
  <c r="J8" i="24"/>
  <c r="I17" i="24"/>
  <c r="I16" i="24"/>
  <c r="I15" i="24"/>
  <c r="I14" i="24"/>
  <c r="I13" i="24"/>
  <c r="J13" i="24" s="1"/>
  <c r="J5" i="24"/>
  <c r="M13" i="23"/>
  <c r="J11" i="24"/>
  <c r="G8" i="23"/>
  <c r="G23" i="23"/>
  <c r="N21" i="23"/>
  <c r="M21" i="23"/>
  <c r="N19" i="23"/>
  <c r="M19" i="23"/>
  <c r="M25" i="23"/>
  <c r="N25" i="23"/>
  <c r="I23" i="23"/>
  <c r="J9" i="24"/>
  <c r="N13" i="23"/>
  <c r="F8" i="23"/>
  <c r="F23" i="23"/>
  <c r="J8" i="23"/>
  <c r="J23" i="23"/>
  <c r="D7" i="23"/>
  <c r="E7" i="23"/>
  <c r="I50" i="19"/>
  <c r="I54" i="19" s="1"/>
  <c r="I61" i="19" s="1"/>
  <c r="I40" i="19"/>
  <c r="I62" i="19" s="1"/>
  <c r="H6" i="21"/>
  <c r="G40" i="19"/>
  <c r="G50" i="19"/>
  <c r="L31" i="9"/>
  <c r="L36" i="9"/>
  <c r="L34" i="9"/>
  <c r="K40" i="19"/>
  <c r="K62" i="19" s="1"/>
  <c r="K50" i="19"/>
  <c r="K54" i="19" s="1"/>
  <c r="E47" i="9"/>
  <c r="E22" i="23" s="1"/>
  <c r="E24" i="23" s="1"/>
  <c r="D41" i="9"/>
  <c r="C41" i="9"/>
  <c r="C37" i="9"/>
  <c r="C15" i="23" s="1"/>
  <c r="F41" i="9"/>
  <c r="F37" i="9"/>
  <c r="F15" i="23" s="1"/>
  <c r="G41" i="9"/>
  <c r="G37" i="9"/>
  <c r="G15" i="23" s="1"/>
  <c r="J37" i="9"/>
  <c r="J15" i="23" s="1"/>
  <c r="J41" i="9"/>
  <c r="I37" i="9"/>
  <c r="I15" i="23" s="1"/>
  <c r="I41" i="9"/>
  <c r="D37" i="9" l="1"/>
  <c r="D15" i="23" s="1"/>
  <c r="H8" i="23"/>
  <c r="K41" i="9"/>
  <c r="H23" i="23"/>
  <c r="N14" i="23"/>
  <c r="H40" i="19"/>
  <c r="H62" i="19" s="1"/>
  <c r="K37" i="9"/>
  <c r="K15" i="23" s="1"/>
  <c r="H41" i="9"/>
  <c r="H42" i="9" s="1"/>
  <c r="H37" i="9"/>
  <c r="H15" i="23" s="1"/>
  <c r="M15" i="23" s="1"/>
  <c r="D8" i="23"/>
  <c r="J40" i="19"/>
  <c r="J62" i="19" s="1"/>
  <c r="J64" i="19" s="1"/>
  <c r="E8" i="23"/>
  <c r="N8" i="23" s="1"/>
  <c r="M14" i="23"/>
  <c r="K23" i="23"/>
  <c r="J17" i="24"/>
  <c r="N23" i="23"/>
  <c r="J15" i="24"/>
  <c r="J16" i="24"/>
  <c r="N7" i="23"/>
  <c r="M7" i="23"/>
  <c r="J14" i="24"/>
  <c r="L37" i="9"/>
  <c r="L41" i="9"/>
  <c r="L45" i="9" s="1"/>
  <c r="L47" i="9" s="1"/>
  <c r="I6" i="21"/>
  <c r="G7" i="21"/>
  <c r="K61" i="19"/>
  <c r="K64" i="19" s="1"/>
  <c r="I64" i="19"/>
  <c r="K56" i="19"/>
  <c r="K57" i="19"/>
  <c r="H61" i="19"/>
  <c r="C47" i="9"/>
  <c r="C22" i="23" s="1"/>
  <c r="G42" i="9"/>
  <c r="G47" i="9"/>
  <c r="G22" i="23" s="1"/>
  <c r="G24" i="23" s="1"/>
  <c r="F47" i="9"/>
  <c r="F22" i="23" s="1"/>
  <c r="F24" i="23" s="1"/>
  <c r="F42" i="9"/>
  <c r="K47" i="9"/>
  <c r="K22" i="23" s="1"/>
  <c r="K42" i="9"/>
  <c r="D42" i="9"/>
  <c r="D47" i="9"/>
  <c r="D22" i="23" s="1"/>
  <c r="D24" i="23" s="1"/>
  <c r="H47" i="9"/>
  <c r="H22" i="23" s="1"/>
  <c r="H24" i="23" s="1"/>
  <c r="I47" i="9"/>
  <c r="I22" i="23" s="1"/>
  <c r="I24" i="23" s="1"/>
  <c r="J47" i="9"/>
  <c r="J22" i="23" s="1"/>
  <c r="J24" i="23" s="1"/>
  <c r="J42" i="9"/>
  <c r="E42" i="9"/>
  <c r="M8" i="23" l="1"/>
  <c r="N15" i="23"/>
  <c r="M23" i="23"/>
  <c r="N4" i="24" a="1"/>
  <c r="N7" i="24" s="1"/>
  <c r="I42" i="9"/>
  <c r="K24" i="23"/>
  <c r="H64" i="19"/>
  <c r="K66" i="19" s="1"/>
  <c r="M22" i="23"/>
  <c r="C24" i="23"/>
  <c r="N22" i="23"/>
  <c r="L42" i="9"/>
  <c r="K67" i="19"/>
  <c r="G8" i="21"/>
  <c r="J6" i="21"/>
  <c r="N6" i="24" l="1"/>
  <c r="N12" i="24"/>
  <c r="N24" i="23"/>
  <c r="O7" i="24"/>
  <c r="M24" i="23"/>
  <c r="N8" i="24"/>
  <c r="N11" i="24"/>
  <c r="O12" i="24" s="1"/>
  <c r="N10" i="24"/>
  <c r="N9" i="24"/>
  <c r="O9" i="24" s="1"/>
  <c r="N5" i="24"/>
  <c r="N4" i="24"/>
  <c r="O8" i="24"/>
  <c r="L6" i="21"/>
  <c r="K6" i="21"/>
  <c r="O10" i="24" l="1"/>
  <c r="O5" i="24"/>
  <c r="N13" i="24"/>
  <c r="O13" i="24" s="1"/>
  <c r="N17" i="24"/>
  <c r="N16" i="24"/>
  <c r="N15" i="24"/>
  <c r="N14" i="24"/>
  <c r="O14" i="24" s="1"/>
  <c r="O6" i="24"/>
  <c r="O11" i="24"/>
  <c r="O16" i="24" l="1"/>
  <c r="O17" i="24"/>
  <c r="O15" i="24"/>
  <c r="L8" i="21" l="1"/>
  <c r="E20" i="21" s="1"/>
  <c r="E24" i="21" s="1"/>
  <c r="E29" i="21" s="1"/>
  <c r="H7" i="21"/>
  <c r="H8" i="21" s="1"/>
  <c r="H12" i="21" s="1"/>
  <c r="I7" i="21"/>
  <c r="I8" i="21" s="1"/>
  <c r="I12" i="21" s="1"/>
  <c r="J7" i="21"/>
  <c r="K7" i="21" s="1"/>
  <c r="K8" i="21" s="1"/>
  <c r="K12" i="21" s="1"/>
  <c r="J8" i="21" l="1"/>
  <c r="J12" i="21" s="1"/>
  <c r="L12" i="21"/>
  <c r="E28" i="21"/>
  <c r="E30" i="21" s="1"/>
  <c r="G19" i="21" s="1"/>
  <c r="E34" i="21" l="1"/>
  <c r="E37" i="21" s="1"/>
  <c r="D54" i="29" l="1"/>
  <c r="E40" i="21"/>
  <c r="D56" i="29" s="1"/>
</calcChain>
</file>

<file path=xl/sharedStrings.xml><?xml version="1.0" encoding="utf-8"?>
<sst xmlns="http://schemas.openxmlformats.org/spreadsheetml/2006/main" count="739" uniqueCount="475">
  <si>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</si>
  <si>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</si>
  <si>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</si>
  <si>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</si>
  <si>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</si>
  <si>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</si>
  <si>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</si>
  <si>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</si>
  <si>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</si>
  <si>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</si>
  <si>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</si>
  <si>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</si>
  <si>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</si>
  <si>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</si>
  <si>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</si>
  <si>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</si>
  <si>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</si>
  <si>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</si>
  <si>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</si>
  <si>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</si>
  <si>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</si>
  <si>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</si>
  <si>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</si>
  <si>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</si>
  <si>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</si>
  <si>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</si>
  <si>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</si>
  <si>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</si>
  <si>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</si>
  <si>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</si>
  <si>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</si>
  <si>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</si>
  <si>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</si>
  <si>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</si>
  <si>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</si>
  <si>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</si>
  <si>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</si>
  <si>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</si>
  <si>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</si>
  <si>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</si>
  <si>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</si>
  <si>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</si>
  <si>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</si>
  <si>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</si>
  <si>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</si>
  <si>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</si>
  <si>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</si>
  <si>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</si>
  <si>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</si>
  <si>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</si>
  <si>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</si>
  <si>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</si>
  <si>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</si>
  <si>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</si>
  <si>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</si>
  <si>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</si>
  <si>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</si>
  <si>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</si>
  <si>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</si>
  <si>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</si>
  <si>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</si>
  <si>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</si>
  <si>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</si>
  <si>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</si>
  <si>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</si>
  <si>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</si>
  <si>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</si>
  <si>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>Interest % Sales</t>
  </si>
  <si>
    <t>Depreciation % Sales</t>
  </si>
  <si>
    <t>Gross Margin</t>
  </si>
  <si>
    <t>Earnings Before Tax</t>
  </si>
  <si>
    <t>EBT % Sales</t>
  </si>
  <si>
    <t>Effective Tax Rate</t>
  </si>
  <si>
    <t>Net Profit</t>
  </si>
  <si>
    <t>Net Margins</t>
  </si>
  <si>
    <t>No of Equity Shares</t>
  </si>
  <si>
    <t xml:space="preserve">Earning per Share </t>
  </si>
  <si>
    <t>Dividend Per Share</t>
  </si>
  <si>
    <t xml:space="preserve">EPS Growth % 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</si>
  <si>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</si>
  <si>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</si>
  <si>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</si>
  <si>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</si>
  <si>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</si>
  <si>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</si>
  <si>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</si>
  <si>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</si>
  <si>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</si>
  <si>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</si>
  <si>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</si>
  <si>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</si>
  <si>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</si>
  <si>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</si>
  <si>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</si>
  <si>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</si>
  <si>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</si>
  <si>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</si>
  <si>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Interest received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</si>
  <si>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</si>
  <si>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</si>
  <si>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</si>
  <si>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</si>
  <si>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</si>
  <si>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</si>
  <si>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</si>
  <si>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</si>
  <si>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</si>
  <si>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</si>
  <si>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</si>
  <si>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</si>
  <si>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</si>
  <si>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</si>
  <si>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</si>
  <si>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Cash Flow From Operating Activities</t>
  </si>
  <si>
    <t>Operating Activities</t>
  </si>
  <si>
    <t>Investing Activities</t>
  </si>
  <si>
    <t>Cash Flow From Investing Activities</t>
  </si>
  <si>
    <t>Financing Activities</t>
  </si>
  <si>
    <t>Cash Flow From Financing Activities</t>
  </si>
  <si>
    <t>All Figures are in INR stated otherwise</t>
  </si>
  <si>
    <t>Peer Comps</t>
  </si>
  <si>
    <t>Debt/</t>
  </si>
  <si>
    <t>Levered</t>
  </si>
  <si>
    <t>Unlevered</t>
  </si>
  <si>
    <t>Name of the Comp</t>
  </si>
  <si>
    <t>Country</t>
  </si>
  <si>
    <t xml:space="preserve">Total Debt 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</si>
  <si>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</si>
  <si>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</si>
  <si>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</si>
  <si>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</si>
  <si>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</si>
  <si>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</si>
  <si>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</si>
  <si>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</si>
  <si>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Median</t>
  </si>
  <si>
    <t>Cost of Debt</t>
  </si>
  <si>
    <t>Cost of Equity</t>
  </si>
  <si>
    <t xml:space="preserve">Pre Tax Cost of Debt </t>
  </si>
  <si>
    <t>Risk Free Rate</t>
  </si>
  <si>
    <t>Tax Rate</t>
  </si>
  <si>
    <t>Equity Risk Premium</t>
  </si>
  <si>
    <t>Post Tax Cost of Debt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</si>
  <si>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</si>
  <si>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</si>
  <si>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</si>
  <si>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>Current</t>
  </si>
  <si>
    <t>Target</t>
  </si>
  <si>
    <t>Comps Median Unlevered Beta</t>
  </si>
  <si>
    <t>Total Debt</t>
  </si>
  <si>
    <t>Target Debt / Equity</t>
  </si>
  <si>
    <t>Total Capital</t>
  </si>
  <si>
    <t>Debt / Equity</t>
  </si>
  <si>
    <t>Weighted Average Cost of Capital</t>
  </si>
  <si>
    <t>Notes</t>
  </si>
  <si>
    <t>1. Tax Rate considered as Marginal Tax Rate for the country</t>
  </si>
  <si>
    <t>Equity Weight</t>
  </si>
  <si>
    <t>3. Unlevered Beta = Levered Beta/1+(1-Tax Rate)*Debt/Equity</t>
  </si>
  <si>
    <t>4. Levered Beta = Unlevered Beta*1+(1-Tax Rate)*Debt/Equity</t>
  </si>
  <si>
    <t>Debt Weight</t>
  </si>
  <si>
    <t>WACC</t>
  </si>
  <si>
    <t xml:space="preserve">Regression Beta - 2 Years weekly </t>
  </si>
  <si>
    <t>Date</t>
  </si>
  <si>
    <t>Nifty Returns</t>
  </si>
  <si>
    <t>Closing Price</t>
  </si>
  <si>
    <t>Return</t>
  </si>
  <si>
    <t>Beta Drifting</t>
  </si>
  <si>
    <t xml:space="preserve">Levered Raw Data </t>
  </si>
  <si>
    <t>Raw Beta Weight</t>
  </si>
  <si>
    <t xml:space="preserve">Market Beta </t>
  </si>
  <si>
    <t xml:space="preserve">Market Beta Weight </t>
  </si>
  <si>
    <t>Adjusted Beta</t>
  </si>
  <si>
    <t xml:space="preserve"> 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</si>
  <si>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</si>
  <si>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</si>
  <si>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</si>
  <si>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</si>
  <si>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</si>
  <si>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</si>
  <si>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</si>
  <si>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</si>
  <si>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</si>
  <si>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</si>
  <si>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</si>
  <si>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</si>
  <si>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</si>
  <si>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</si>
  <si>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</si>
  <si>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</si>
  <si>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</si>
  <si>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</si>
  <si>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</si>
  <si>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</si>
  <si>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</si>
  <si>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</si>
  <si>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</si>
  <si>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</si>
  <si>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</si>
  <si>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</si>
  <si>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</si>
  <si>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S.No.</t>
  </si>
  <si>
    <t>Name</t>
  </si>
  <si>
    <t>CMP Rs.</t>
  </si>
  <si>
    <t xml:space="preserve">Mar Cap Rs.Cr. </t>
  </si>
  <si>
    <t>Debt Rs.Cr.</t>
  </si>
  <si>
    <t>Debt / Eq</t>
  </si>
  <si>
    <t>ITC Weekly Returns</t>
  </si>
  <si>
    <t>Returns</t>
  </si>
  <si>
    <t>Hind. Unilever</t>
  </si>
  <si>
    <t>ITC</t>
  </si>
  <si>
    <t>Varun Beverages</t>
  </si>
  <si>
    <t>Britannia Inds.</t>
  </si>
  <si>
    <t>Varun Beverages Ltd Weekly Returns</t>
  </si>
  <si>
    <t>Adj Close</t>
  </si>
  <si>
    <t>Britannia Inds. Ltd Weekly Returns</t>
  </si>
  <si>
    <t>Year</t>
  </si>
  <si>
    <t>Annual</t>
  </si>
  <si>
    <t>Average Return</t>
  </si>
  <si>
    <r>
      <t xml:space="preserve">Dividend Yield </t>
    </r>
    <r>
      <rPr>
        <vertAlign val="superscript"/>
        <sz val="11"/>
        <color theme="1"/>
        <rFont val="Calibri"/>
        <family val="2"/>
      </rPr>
      <t>1</t>
    </r>
  </si>
  <si>
    <t>Total Market Return</t>
  </si>
  <si>
    <t>Geometric return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</si>
  <si>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</si>
  <si>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</si>
  <si>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</si>
  <si>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</si>
  <si>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</si>
  <si>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</si>
  <si>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Gross Block</t>
  </si>
  <si>
    <t>Accumulated Depriciation</t>
  </si>
  <si>
    <t>Net Non Current Assets</t>
  </si>
  <si>
    <t>Invested Capital</t>
  </si>
  <si>
    <t>EBIT</t>
  </si>
  <si>
    <t>Marginal Tax Rate</t>
  </si>
  <si>
    <t>EBIT(1-T)</t>
  </si>
  <si>
    <t>ROIC</t>
  </si>
  <si>
    <t>Calculation of Reinvestment Rate</t>
  </si>
  <si>
    <t>Net Capex</t>
  </si>
  <si>
    <t>Change in Working Capital</t>
  </si>
  <si>
    <t xml:space="preserve">Reinvestment </t>
  </si>
  <si>
    <t>Reinvestment Rate</t>
  </si>
  <si>
    <t>4 Year Average</t>
  </si>
  <si>
    <t>4 Year Median</t>
  </si>
  <si>
    <t>Calculation of Growth Rate</t>
  </si>
  <si>
    <t>Intrinsic Growth</t>
  </si>
  <si>
    <t>Inventories</t>
  </si>
  <si>
    <t>Trade receivables</t>
  </si>
  <si>
    <t>Loans n Advances</t>
  </si>
  <si>
    <t>Other asset items</t>
  </si>
  <si>
    <t>Trade Payables</t>
  </si>
  <si>
    <t>Advance from Customers</t>
  </si>
  <si>
    <t>Other liability items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</si>
  <si>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</si>
  <si>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</si>
  <si>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</si>
  <si>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</si>
  <si>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</si>
  <si>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</si>
  <si>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</si>
  <si>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Equity Capital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</si>
  <si>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</si>
  <si>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</si>
  <si>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</si>
  <si>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</si>
  <si>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</si>
  <si>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</si>
  <si>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</si>
  <si>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</si>
  <si>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Railway sidings</t>
  </si>
  <si>
    <t>Accumulated Depreciation</t>
  </si>
  <si>
    <t>CWIP</t>
  </si>
  <si>
    <r>
      <t>Other Assets </t>
    </r>
    <r>
      <rPr>
        <sz val="11"/>
        <color rgb="FF665EFD"/>
        <rFont val="Arial"/>
        <family val="2"/>
      </rPr>
      <t>-</t>
    </r>
  </si>
  <si>
    <r>
      <t>Trade receivables </t>
    </r>
    <r>
      <rPr>
        <sz val="11"/>
        <color rgb="FF665EFD"/>
        <rFont val="Arial"/>
        <family val="2"/>
      </rPr>
      <t>+</t>
    </r>
  </si>
  <si>
    <t>Cash Equivalents</t>
  </si>
  <si>
    <t>Total Assets</t>
  </si>
  <si>
    <t>Particulars</t>
  </si>
  <si>
    <t>Loans Advances</t>
  </si>
  <si>
    <t>Operating Deposits</t>
  </si>
  <si>
    <t>Exceptional CF items</t>
  </si>
  <si>
    <t>Dividends received</t>
  </si>
  <si>
    <t>Dividends paid</t>
  </si>
  <si>
    <t>Railway Sidings</t>
  </si>
  <si>
    <t>EBIT % Sales</t>
  </si>
  <si>
    <t>Calculation of PV of FCFF</t>
  </si>
  <si>
    <t>EBIT(1-Tax)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</si>
  <si>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</si>
  <si>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</si>
  <si>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</si>
  <si>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</si>
  <si>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</si>
  <si>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</si>
  <si>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Value</t>
  </si>
  <si>
    <t>Calculation of Terminal Value</t>
  </si>
  <si>
    <t>FCFF (n+1)</t>
  </si>
  <si>
    <t>Terminal Growth Rate</t>
  </si>
  <si>
    <t>Calculation of Equity Value Per Share</t>
  </si>
  <si>
    <t>PV of Terminal Value</t>
  </si>
  <si>
    <t>Value of Operating Assets</t>
  </si>
  <si>
    <t>Add: Cash</t>
  </si>
  <si>
    <t>Less: Debt</t>
  </si>
  <si>
    <t>Value of Equity</t>
  </si>
  <si>
    <t>No. of Shares</t>
  </si>
  <si>
    <t>Equity Value per Share</t>
  </si>
  <si>
    <t>Share Price</t>
  </si>
  <si>
    <t>Trend</t>
  </si>
  <si>
    <t>Mean</t>
  </si>
  <si>
    <t>SalesGrowth</t>
  </si>
  <si>
    <t>EBITDA Growth</t>
  </si>
  <si>
    <t>EBT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</si>
  <si>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</si>
  <si>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</si>
  <si>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</si>
  <si>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</si>
  <si>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</si>
  <si>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</si>
  <si>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</si>
  <si>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</si>
  <si>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</si>
  <si>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</si>
  <si>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</si>
  <si>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</si>
  <si>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</si>
  <si>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</si>
  <si>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</si>
  <si>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</si>
  <si>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</si>
  <si>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</si>
  <si>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</si>
  <si>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</si>
  <si>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</si>
  <si>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</si>
  <si>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</si>
  <si>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</si>
  <si>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</si>
  <si>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</si>
  <si>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Year Weight</t>
  </si>
  <si>
    <t>EPS</t>
  </si>
  <si>
    <t>EPS Growth</t>
  </si>
  <si>
    <t>Comparable Company Valuation</t>
  </si>
  <si>
    <t>Shares Outstanding</t>
  </si>
  <si>
    <t>Equity Value</t>
  </si>
  <si>
    <t>Net Debt</t>
  </si>
  <si>
    <t>Enterprise Value</t>
  </si>
  <si>
    <t>Revenue</t>
  </si>
  <si>
    <t>Net Income</t>
  </si>
  <si>
    <t>Market Data</t>
  </si>
  <si>
    <t>Financials</t>
  </si>
  <si>
    <t>Valuation</t>
  </si>
  <si>
    <t xml:space="preserve">Company </t>
  </si>
  <si>
    <t>Ticker</t>
  </si>
  <si>
    <t>No. Eq. Shares Cr.</t>
  </si>
  <si>
    <t>Cash End Rs.Cr.</t>
  </si>
  <si>
    <t>Sales Rs.Cr.</t>
  </si>
  <si>
    <t>NP 12M Rs.Cr.</t>
  </si>
  <si>
    <t>Nestle India</t>
  </si>
  <si>
    <t>Tata Consumer</t>
  </si>
  <si>
    <t>Marico</t>
  </si>
  <si>
    <t>Godrej Consumer</t>
  </si>
  <si>
    <t>United Spirits</t>
  </si>
  <si>
    <t>Dabur India</t>
  </si>
  <si>
    <t>Colgate-Palmoliv</t>
  </si>
  <si>
    <t>Radico Khaitan</t>
  </si>
  <si>
    <t>Patanjali Foods</t>
  </si>
  <si>
    <t>United Breweries</t>
  </si>
  <si>
    <t>Godfrey Phillips</t>
  </si>
  <si>
    <t>P &amp; G Hygiene</t>
  </si>
  <si>
    <t>Gillette India</t>
  </si>
  <si>
    <t>Cupid</t>
  </si>
  <si>
    <t>AWL Agri Busine.</t>
  </si>
  <si>
    <t>Hatsun Agro</t>
  </si>
  <si>
    <t>Emami</t>
  </si>
  <si>
    <t>Allied Blenders</t>
  </si>
  <si>
    <t>Zydus Wellness</t>
  </si>
  <si>
    <t>Bikaji Foods</t>
  </si>
  <si>
    <t>CCL Products</t>
  </si>
  <si>
    <t>Market Cap</t>
  </si>
  <si>
    <t>EV</t>
  </si>
  <si>
    <t>EV/Revenue</t>
  </si>
  <si>
    <t>EV/EBITDA</t>
  </si>
  <si>
    <t>P/E</t>
  </si>
  <si>
    <t>High</t>
  </si>
  <si>
    <t>75th Percentile</t>
  </si>
  <si>
    <t xml:space="preserve">Average </t>
  </si>
  <si>
    <t>25th Percentile</t>
  </si>
  <si>
    <t>Low</t>
  </si>
  <si>
    <t>HINDUSTAN UNILEVER LTD Comparable Valuation</t>
  </si>
  <si>
    <t>Implied Enterprise Value</t>
  </si>
  <si>
    <t>Implied Market Value</t>
  </si>
  <si>
    <t>Implied Value per Share</t>
  </si>
  <si>
    <t>Source: The Valuation School, Screener.in</t>
  </si>
  <si>
    <t>Amount in Crores</t>
  </si>
  <si>
    <t>Comps</t>
  </si>
  <si>
    <t>DCF Bear</t>
  </si>
  <si>
    <t>DCF Base</t>
  </si>
  <si>
    <t>DCF Bull</t>
  </si>
  <si>
    <t>52W H/L</t>
  </si>
  <si>
    <t xml:space="preserve">OpenLow </t>
  </si>
  <si>
    <t>OpenHigh</t>
  </si>
  <si>
    <t>Footlball Field Analysis - Data</t>
  </si>
  <si>
    <t>Football Field Analysis - Valuation Summary</t>
  </si>
  <si>
    <t>Discount/Premium</t>
  </si>
  <si>
    <t>Sensitivity Analysis</t>
  </si>
  <si>
    <t>5.ERP of 5.14% derived from 20-year geometric mean of Nifty 50 returns (10.68%) less risk-free rate (6.84%), adjusted for India's current market conditions.</t>
  </si>
  <si>
    <t>Positive = Premium (Market &gt; IV). Negative = Discount (Market &lt; IV)</t>
  </si>
  <si>
    <t>Return on Market</t>
  </si>
  <si>
    <t>A. COMPANY OVERVIEW</t>
  </si>
  <si>
    <t>B. REVENUE GROWTH ASSUMPTIONS</t>
  </si>
  <si>
    <t>C. EBITDA MARGIN ASSUMPTIONS</t>
  </si>
  <si>
    <t>D. WACC ASSUMPTIONS</t>
  </si>
  <si>
    <t>Peer Comps Used for Beta: ITC, Varun Beverages, Britannia</t>
  </si>
  <si>
    <t>E. TERMINAL VALUE ASSUMPTIONS</t>
  </si>
  <si>
    <t>F. KEY MODEL LIMITATIONS</t>
  </si>
  <si>
    <t>4. Peer set limited to 3 Indian FMCG companies</t>
  </si>
  <si>
    <t>G. VALUATION SUMMARY</t>
  </si>
  <si>
    <t xml:space="preserve">Valuation Date: June 2026 </t>
  </si>
  <si>
    <t xml:space="preserve">DCF Intrinsic Value:      </t>
  </si>
  <si>
    <t xml:space="preserve">Current Market Price:    </t>
  </si>
  <si>
    <t xml:space="preserve">Premium to IV:         </t>
  </si>
  <si>
    <t xml:space="preserve">Rating:                 </t>
  </si>
  <si>
    <t>per share</t>
  </si>
  <si>
    <t>Sources:</t>
  </si>
  <si>
    <t>Normalizing toward historical average of 5-8%</t>
  </si>
  <si>
    <t>FY28E: 5.6% -</t>
  </si>
  <si>
    <t>Stable FMCG market growth</t>
  </si>
  <si>
    <t>FY29E: 5.3% -</t>
  </si>
  <si>
    <t>FY30E: 5.0% -</t>
  </si>
  <si>
    <t>Converging to long-run India consumption growth</t>
  </si>
  <si>
    <t>FY31E: 4.8% -</t>
  </si>
  <si>
    <t>Mature phase; approaching terminal growth</t>
  </si>
  <si>
    <t xml:space="preserve">Basis: </t>
  </si>
  <si>
    <t>Management commentary: Q4 FY26 earnings call</t>
  </si>
  <si>
    <t xml:space="preserve">Base FY26: </t>
  </si>
  <si>
    <t>23.3% (actual)</t>
  </si>
  <si>
    <t xml:space="preserve">Risk Free Rate:     </t>
  </si>
  <si>
    <t xml:space="preserve">Equity Risk Premium: </t>
  </si>
  <si>
    <t xml:space="preserve">Beta:              </t>
  </si>
  <si>
    <t xml:space="preserve">                  </t>
  </si>
  <si>
    <t>(10-year G-Sec yield, June 2026)</t>
  </si>
  <si>
    <t>(20-year geometric mean of Nifty 50 returns less risk-free rate)</t>
  </si>
  <si>
    <t>(Blume Adjusted Beta — Raw Beta × 0.75   + Market Beta × 0.25; 2-year weekly regression   vs Nifty 50; 105 observations)</t>
  </si>
  <si>
    <t>Terminal Growth Rate:</t>
  </si>
  <si>
    <t>1. Model uses 5-year explicit forecast - HUL's brand moat and distribution may justify longer horizon.</t>
  </si>
  <si>
    <t>2. Rural recovery timing uncertain - key upside risk.</t>
  </si>
  <si>
    <t>3. Crude oil &amp; palm oil prices affect RM costs - not explicitly modeled</t>
  </si>
  <si>
    <r>
      <t xml:space="preserve">HUL is India's largest FMCG company with presence in Home Care, Beauty &amp; Personal Care, and Foods &amp; Refreshment. Revenue: </t>
    </r>
    <r>
      <rPr>
        <sz val="11"/>
        <color theme="1"/>
        <rFont val="Calibri"/>
        <family val="2"/>
      </rPr>
      <t>₹</t>
    </r>
    <r>
      <rPr>
        <sz val="11"/>
        <color theme="1"/>
        <rFont val="Calibri"/>
        <family val="2"/>
        <scheme val="minor"/>
      </rPr>
      <t>64,468 Cr (FY26) | EBITDA Margin: 23.3% | ROIC: 24.5%</t>
    </r>
  </si>
  <si>
    <t xml:space="preserve">  Forecast: </t>
  </si>
  <si>
    <t>FY27E: 10.7% -</t>
  </si>
  <si>
    <t>Rural recovery + low base (FY26 actual only 5.12%) + volume acceleration</t>
  </si>
  <si>
    <t>Stable at 23-25% — HUL has maintained this range for 8+ consecutive years. No significant expansion assumed as premiumization gains are offset by rising raw material  costs (palm oil, crude derivatives).</t>
  </si>
  <si>
    <t>Tax Rate:</t>
  </si>
  <si>
    <t>(India marginal corporate rate)</t>
  </si>
  <si>
    <t>BSE Annual Reports, Screener.in, Damodaran Online (ERP), NSE (price data), Yahoo Finance</t>
  </si>
  <si>
    <t>2. Levered Beta is based on 2 years weekly data</t>
  </si>
  <si>
    <t>HUL 8-year historical revenue CAGR = 7.7%</t>
  </si>
  <si>
    <t>(Market trades at 239% premium to IV)</t>
  </si>
  <si>
    <t>Sensitivity values represent Value of Operating Assets (₹ Crores). Equity Value per Share ranges from ₹579 (Bear) to ₹1015 (Bull).</t>
  </si>
  <si>
    <t>4% conservative long-run growth rate; below India's real GDP growth (~7%) to account for long-run mean reversion and competitive intensity in mature FMCG market. Standard Damodaran convention followed — terminal growth cannot exceed 
country's long-run GDP growth.</t>
  </si>
  <si>
    <t>SELL / OVERPRICED</t>
  </si>
  <si>
    <t>Stock trades at 239% premium to our intrinsic value estimate. However, HUL's quality premium — 24%+ ROIC, net cash balance sheet, and dominant distribution network — partially justifies premium. Recommend SELL for value investors, HOLD for quality-focused long-term investors.</t>
  </si>
  <si>
    <t>Discounted Cash Flow (DCF) Valuation</t>
  </si>
  <si>
    <t>Harsh Sharma</t>
  </si>
  <si>
    <t xml:space="preserve">                CFA Level I Passed</t>
  </si>
  <si>
    <t xml:space="preserve">              Accounting &amp; Finance</t>
  </si>
  <si>
    <t xml:space="preserve">        Bachelor of Commerce (Honours)</t>
  </si>
  <si>
    <t xml:space="preserve">                  Panjab University</t>
  </si>
  <si>
    <t xml:space="preserve">             Financial Modeling | Equity Research | Valuation</t>
  </si>
  <si>
    <t>Prepared By:</t>
  </si>
  <si>
    <t>HINDUNILVR</t>
  </si>
  <si>
    <t>NESTLEIND</t>
  </si>
  <si>
    <t>VBL</t>
  </si>
  <si>
    <t>BRITANNIA</t>
  </si>
  <si>
    <t>MARICO</t>
  </si>
  <si>
    <t>TATACONSUM</t>
  </si>
  <si>
    <t>GODREJCP</t>
  </si>
  <si>
    <t>UNITDSPR</t>
  </si>
  <si>
    <t> DABUR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</si>
</sst>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 \-"/>
    <numFmt numFmtId="167" formatCode="&quot;₹&quot;\ #,##0.0;\(&quot;₹&quot;\ #,##0.0\);"/>
    <numFmt numFmtId="168" formatCode="#,##0.0"/>
    <numFmt numFmtId="169" formatCode="&quot;₹&quot;\ #,##0.00;\(&quot;₹&quot;\ #,##0.00\);\-"/>
    <numFmt numFmtId="170" formatCode="0.000"/>
    <numFmt numFmtId="171" formatCode="#,##0.0;\(#,##0.0\);\-"/>
    <numFmt numFmtId="172" formatCode="mmm/yy\ &quot;A&quot;"/>
    <numFmt numFmtId="173" formatCode="mmm/yy\ &quot;F&quot;"/>
    <numFmt numFmtId="174" formatCode="0.00&quot;x&quot;"/>
    <numFmt numFmtId="175" formatCode="yyyy&quot;A&quot;"/>
    <numFmt numFmtId="176" formatCode="yyyy&quot;E&quot;"/>
    <numFmt numFmtId="177" formatCode="_ * #,##0.0_ ;_ * \-#,##0.0_ ;_ * &quot;-&quot;??_ ;_ @_ "/>
    <numFmt numFmtId="178" formatCode="0.0"/>
    <numFmt numFmtId="179" formatCode="0.0\x"/>
    <numFmt numFmtId="180" formatCode="&quot;₹&quot;\ #,##0;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i/>
      <sz val="10"/>
      <color theme="1"/>
      <name val="Calibri"/>
      <family val="2"/>
      <scheme val="minor"/>
    </font>
    <font>
      <sz val="11"/>
      <color rgb="FF22222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theme="0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b/>
      <sz val="11"/>
      <color rgb="FF22222F"/>
      <name val="Arial"/>
      <family val="2"/>
    </font>
    <font>
      <i/>
      <sz val="11"/>
      <color rgb="FF0000FF"/>
      <name val="Calibri"/>
      <family val="2"/>
    </font>
    <font>
      <b/>
      <sz val="11"/>
      <color rgb="FF002060"/>
      <name val="Calibri"/>
      <family val="2"/>
      <scheme val="minor"/>
    </font>
    <font>
      <b/>
      <sz val="14"/>
      <color theme="0"/>
      <name val="Calibri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auto="1"/>
      </top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275">
    <xf numFmtId="0" fontId="0" fillId="0" borderId="0" xfId="0"/>
    <xf numFmtId="43" fontId="2" fillId="0" borderId="0" xfId="1" applyFont="1" applyBorder="1"/>
    <xf numFmtId="0" fontId="2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165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Border="1"/>
    <xf numFmtId="165" fontId="7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 applyBorder="1"/>
    <xf numFmtId="17" fontId="0" fillId="0" borderId="0" xfId="0" applyNumberFormat="1"/>
    <xf numFmtId="0" fontId="3" fillId="4" borderId="0" xfId="0" applyFont="1" applyFill="1"/>
    <xf numFmtId="17" fontId="3" fillId="4" borderId="0" xfId="0" applyNumberFormat="1" applyFont="1" applyFill="1"/>
    <xf numFmtId="166" fontId="0" fillId="0" borderId="0" xfId="0" applyNumberFormat="1"/>
    <xf numFmtId="0" fontId="3" fillId="4" borderId="0" xfId="0" applyFont="1" applyFill="1" applyAlignment="1">
      <alignment horizontal="right"/>
    </xf>
    <xf numFmtId="10" fontId="0" fillId="0" borderId="0" xfId="4" applyNumberFormat="1" applyFont="1"/>
    <xf numFmtId="0" fontId="8" fillId="0" borderId="0" xfId="0" applyFont="1"/>
    <xf numFmtId="0" fontId="8" fillId="0" borderId="0" xfId="0" applyFont="1" applyAlignment="1">
      <alignment horizontal="right"/>
    </xf>
    <xf numFmtId="10" fontId="8" fillId="0" borderId="0" xfId="4" applyNumberFormat="1" applyFont="1"/>
    <xf numFmtId="0" fontId="2" fillId="5" borderId="0" xfId="0" applyFont="1" applyFill="1"/>
    <xf numFmtId="0" fontId="0" fillId="5" borderId="0" xfId="0" applyFill="1"/>
    <xf numFmtId="0" fontId="3" fillId="6" borderId="0" xfId="0" applyFont="1" applyFill="1"/>
    <xf numFmtId="17" fontId="3" fillId="6" borderId="0" xfId="0" applyNumberFormat="1" applyFont="1" applyFill="1"/>
    <xf numFmtId="0" fontId="3" fillId="6" borderId="0" xfId="0" applyFont="1" applyFill="1" applyAlignment="1">
      <alignment horizontal="right"/>
    </xf>
    <xf numFmtId="167" fontId="0" fillId="0" borderId="0" xfId="0" applyNumberFormat="1"/>
    <xf numFmtId="167" fontId="8" fillId="0" borderId="0" xfId="4" applyNumberFormat="1" applyFont="1"/>
    <xf numFmtId="2" fontId="0" fillId="0" borderId="0" xfId="0" applyNumberFormat="1"/>
    <xf numFmtId="166" fontId="2" fillId="0" borderId="0" xfId="0" applyNumberFormat="1" applyFont="1"/>
    <xf numFmtId="9" fontId="0" fillId="0" borderId="0" xfId="0" applyNumberFormat="1"/>
    <xf numFmtId="0" fontId="11" fillId="0" borderId="0" xfId="0" applyFont="1"/>
    <xf numFmtId="0" fontId="10" fillId="0" borderId="0" xfId="0" applyFont="1"/>
    <xf numFmtId="0" fontId="0" fillId="0" borderId="1" xfId="0" applyBorder="1"/>
    <xf numFmtId="0" fontId="0" fillId="0" borderId="2" xfId="0" applyBorder="1"/>
    <xf numFmtId="0" fontId="13" fillId="0" borderId="0" xfId="0" applyFont="1"/>
    <xf numFmtId="168" fontId="0" fillId="0" borderId="0" xfId="0" applyNumberFormat="1"/>
    <xf numFmtId="10" fontId="13" fillId="0" borderId="0" xfId="0" applyNumberFormat="1" applyFont="1"/>
    <xf numFmtId="168" fontId="13" fillId="0" borderId="0" xfId="0" applyNumberFormat="1" applyFont="1"/>
    <xf numFmtId="2" fontId="13" fillId="0" borderId="0" xfId="0" applyNumberFormat="1" applyFont="1"/>
    <xf numFmtId="0" fontId="10" fillId="0" borderId="1" xfId="0" applyFont="1" applyBorder="1"/>
    <xf numFmtId="10" fontId="0" fillId="0" borderId="1" xfId="0" applyNumberFormat="1" applyBorder="1"/>
    <xf numFmtId="2" fontId="0" fillId="0" borderId="1" xfId="0" applyNumberFormat="1" applyBorder="1"/>
    <xf numFmtId="0" fontId="10" fillId="0" borderId="2" xfId="0" applyFont="1" applyBorder="1"/>
    <xf numFmtId="10" fontId="0" fillId="0" borderId="2" xfId="0" applyNumberFormat="1" applyBorder="1"/>
    <xf numFmtId="2" fontId="0" fillId="0" borderId="2" xfId="0" applyNumberFormat="1" applyBorder="1"/>
    <xf numFmtId="0" fontId="0" fillId="0" borderId="3" xfId="0" applyBorder="1"/>
    <xf numFmtId="10" fontId="0" fillId="0" borderId="3" xfId="0" applyNumberFormat="1" applyBorder="1"/>
    <xf numFmtId="0" fontId="10" fillId="0" borderId="0" xfId="0" applyFont="1" applyAlignment="1">
      <alignment horizontal="right"/>
    </xf>
    <xf numFmtId="0" fontId="10" fillId="0" borderId="2" xfId="0" applyFont="1" applyBorder="1" applyAlignment="1">
      <alignment horizontal="right"/>
    </xf>
    <xf numFmtId="10" fontId="0" fillId="0" borderId="1" xfId="4" applyNumberFormat="1" applyFont="1" applyBorder="1"/>
    <xf numFmtId="10" fontId="0" fillId="0" borderId="0" xfId="4" applyNumberFormat="1" applyFont="1" applyBorder="1"/>
    <xf numFmtId="168" fontId="0" fillId="0" borderId="3" xfId="0" applyNumberFormat="1" applyBorder="1"/>
    <xf numFmtId="10" fontId="0" fillId="0" borderId="3" xfId="4" applyNumberFormat="1" applyFont="1" applyBorder="1"/>
    <xf numFmtId="2" fontId="0" fillId="0" borderId="3" xfId="0" applyNumberFormat="1" applyBorder="1"/>
    <xf numFmtId="0" fontId="14" fillId="0" borderId="0" xfId="0" applyFont="1"/>
    <xf numFmtId="0" fontId="14" fillId="0" borderId="0" xfId="0" applyFont="1" applyAlignment="1">
      <alignment vertical="top"/>
    </xf>
    <xf numFmtId="0" fontId="10" fillId="7" borderId="0" xfId="0" applyFont="1" applyFill="1"/>
    <xf numFmtId="10" fontId="10" fillId="7" borderId="0" xfId="0" applyNumberFormat="1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168" fontId="13" fillId="0" borderId="0" xfId="0" applyNumberFormat="1" applyFont="1" applyAlignment="1">
      <alignment vertical="center" wrapText="1"/>
    </xf>
    <xf numFmtId="10" fontId="0" fillId="0" borderId="0" xfId="4" applyNumberFormat="1" applyFont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10" fontId="0" fillId="0" borderId="0" xfId="4" applyNumberFormat="1" applyFont="1" applyAlignment="1">
      <alignment horizontal="right" vertical="center" wrapText="1"/>
    </xf>
    <xf numFmtId="0" fontId="9" fillId="6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9" fontId="13" fillId="0" borderId="0" xfId="4" applyFont="1" applyAlignment="1">
      <alignment horizontal="right" vertical="center" wrapText="1"/>
    </xf>
    <xf numFmtId="4" fontId="13" fillId="0" borderId="0" xfId="0" applyNumberFormat="1" applyFont="1" applyAlignment="1">
      <alignment horizontal="right" vertical="center" wrapText="1"/>
    </xf>
    <xf numFmtId="0" fontId="0" fillId="7" borderId="0" xfId="0" applyFill="1" applyAlignment="1">
      <alignment horizontal="left"/>
    </xf>
    <xf numFmtId="4" fontId="0" fillId="7" borderId="0" xfId="0" applyNumberFormat="1" applyFill="1" applyAlignment="1">
      <alignment horizontal="right" vertical="center" wrapText="1"/>
    </xf>
    <xf numFmtId="0" fontId="6" fillId="6" borderId="0" xfId="0" applyFont="1" applyFill="1"/>
    <xf numFmtId="0" fontId="9" fillId="6" borderId="0" xfId="0" applyFont="1" applyFill="1"/>
    <xf numFmtId="0" fontId="0" fillId="0" borderId="4" xfId="0" applyBorder="1"/>
    <xf numFmtId="0" fontId="15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Continuous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169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70" fontId="0" fillId="0" borderId="0" xfId="0" applyNumberFormat="1"/>
    <xf numFmtId="0" fontId="16" fillId="8" borderId="0" xfId="0" applyFont="1" applyFill="1"/>
    <xf numFmtId="9" fontId="13" fillId="0" borderId="0" xfId="4" applyFont="1" applyAlignment="1">
      <alignment horizontal="right"/>
    </xf>
    <xf numFmtId="0" fontId="14" fillId="0" borderId="0" xfId="0" applyFont="1" applyAlignment="1">
      <alignment vertical="top" wrapText="1"/>
    </xf>
    <xf numFmtId="0" fontId="6" fillId="8" borderId="0" xfId="0" applyFont="1" applyFill="1"/>
    <xf numFmtId="17" fontId="6" fillId="8" borderId="0" xfId="0" applyNumberFormat="1" applyFont="1" applyFill="1"/>
    <xf numFmtId="0" fontId="17" fillId="0" borderId="0" xfId="0" applyFont="1"/>
    <xf numFmtId="0" fontId="4" fillId="0" borderId="0" xfId="0" applyFont="1"/>
    <xf numFmtId="0" fontId="4" fillId="0" borderId="7" xfId="0" applyFont="1" applyBorder="1"/>
    <xf numFmtId="171" fontId="18" fillId="9" borderId="7" xfId="0" applyNumberFormat="1" applyFont="1" applyFill="1" applyBorder="1" applyAlignment="1">
      <alignment horizontal="right" vertical="center" wrapText="1"/>
    </xf>
    <xf numFmtId="171" fontId="18" fillId="9" borderId="0" xfId="0" applyNumberFormat="1" applyFont="1" applyFill="1" applyAlignment="1">
      <alignment horizontal="right" vertical="center" wrapText="1"/>
    </xf>
    <xf numFmtId="0" fontId="2" fillId="0" borderId="1" xfId="0" applyFont="1" applyBorder="1"/>
    <xf numFmtId="0" fontId="4" fillId="0" borderId="1" xfId="0" applyFont="1" applyBorder="1"/>
    <xf numFmtId="171" fontId="2" fillId="0" borderId="1" xfId="0" applyNumberFormat="1" applyFont="1" applyBorder="1"/>
    <xf numFmtId="0" fontId="2" fillId="0" borderId="8" xfId="0" applyFont="1" applyBorder="1"/>
    <xf numFmtId="168" fontId="2" fillId="0" borderId="8" xfId="0" applyNumberFormat="1" applyFont="1" applyBorder="1"/>
    <xf numFmtId="0" fontId="2" fillId="0" borderId="9" xfId="0" applyFont="1" applyBorder="1"/>
    <xf numFmtId="0" fontId="4" fillId="0" borderId="9" xfId="0" applyFont="1" applyBorder="1"/>
    <xf numFmtId="171" fontId="4" fillId="0" borderId="9" xfId="0" applyNumberFormat="1" applyFont="1" applyBorder="1"/>
    <xf numFmtId="168" fontId="2" fillId="0" borderId="0" xfId="0" applyNumberFormat="1" applyFont="1"/>
    <xf numFmtId="0" fontId="4" fillId="0" borderId="10" xfId="0" applyFont="1" applyBorder="1"/>
    <xf numFmtId="10" fontId="19" fillId="0" borderId="10" xfId="0" applyNumberFormat="1" applyFont="1" applyBorder="1"/>
    <xf numFmtId="171" fontId="4" fillId="0" borderId="10" xfId="0" applyNumberFormat="1" applyFont="1" applyBorder="1"/>
    <xf numFmtId="10" fontId="2" fillId="0" borderId="9" xfId="4" applyNumberFormat="1" applyFont="1" applyBorder="1"/>
    <xf numFmtId="10" fontId="15" fillId="0" borderId="10" xfId="0" applyNumberFormat="1" applyFont="1" applyBorder="1"/>
    <xf numFmtId="0" fontId="2" fillId="0" borderId="11" xfId="0" applyFont="1" applyBorder="1"/>
    <xf numFmtId="10" fontId="2" fillId="0" borderId="11" xfId="4" applyNumberFormat="1" applyFont="1" applyBorder="1"/>
    <xf numFmtId="10" fontId="4" fillId="0" borderId="0" xfId="4" applyNumberFormat="1" applyFont="1"/>
    <xf numFmtId="0" fontId="2" fillId="7" borderId="1" xfId="0" applyFont="1" applyFill="1" applyBorder="1"/>
    <xf numFmtId="10" fontId="2" fillId="7" borderId="1" xfId="0" applyNumberFormat="1" applyFont="1" applyFill="1" applyBorder="1"/>
    <xf numFmtId="0" fontId="2" fillId="7" borderId="2" xfId="0" applyFont="1" applyFill="1" applyBorder="1"/>
    <xf numFmtId="10" fontId="2" fillId="7" borderId="2" xfId="0" applyNumberFormat="1" applyFont="1" applyFill="1" applyBorder="1"/>
    <xf numFmtId="10" fontId="4" fillId="0" borderId="10" xfId="0" applyNumberFormat="1" applyFont="1" applyBorder="1"/>
    <xf numFmtId="10" fontId="2" fillId="0" borderId="11" xfId="0" applyNumberFormat="1" applyFont="1" applyBorder="1"/>
    <xf numFmtId="0" fontId="20" fillId="9" borderId="0" xfId="0" applyFont="1" applyFill="1" applyAlignment="1">
      <alignment horizontal="left" vertical="center" indent="2"/>
    </xf>
    <xf numFmtId="0" fontId="20" fillId="10" borderId="0" xfId="0" applyFont="1" applyFill="1" applyAlignment="1">
      <alignment horizontal="left" vertical="center" indent="2"/>
    </xf>
    <xf numFmtId="0" fontId="21" fillId="9" borderId="13" xfId="0" applyFont="1" applyFill="1" applyBorder="1" applyAlignment="1">
      <alignment horizontal="left" vertical="center" indent="2"/>
    </xf>
    <xf numFmtId="0" fontId="20" fillId="9" borderId="0" xfId="0" applyFont="1" applyFill="1" applyAlignment="1">
      <alignment horizontal="left" vertical="center"/>
    </xf>
    <xf numFmtId="0" fontId="21" fillId="10" borderId="13" xfId="0" applyFont="1" applyFill="1" applyBorder="1" applyAlignment="1">
      <alignment horizontal="left" vertical="center" indent="2"/>
    </xf>
    <xf numFmtId="0" fontId="20" fillId="10" borderId="0" xfId="0" applyFont="1" applyFill="1" applyAlignment="1">
      <alignment horizontal="left" vertical="center"/>
    </xf>
    <xf numFmtId="17" fontId="23" fillId="8" borderId="12" xfId="0" applyNumberFormat="1" applyFont="1" applyFill="1" applyBorder="1" applyAlignment="1">
      <alignment horizontal="right" vertical="center" wrapText="1"/>
    </xf>
    <xf numFmtId="171" fontId="24" fillId="9" borderId="7" xfId="0" applyNumberFormat="1" applyFont="1" applyFill="1" applyBorder="1" applyAlignment="1">
      <alignment horizontal="right" vertical="center" wrapText="1"/>
    </xf>
    <xf numFmtId="3" fontId="24" fillId="9" borderId="14" xfId="0" applyNumberFormat="1" applyFont="1" applyFill="1" applyBorder="1" applyAlignment="1">
      <alignment horizontal="right" vertical="center" wrapText="1"/>
    </xf>
    <xf numFmtId="3" fontId="25" fillId="6" borderId="14" xfId="0" applyNumberFormat="1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left" vertical="center" indent="2"/>
    </xf>
    <xf numFmtId="3" fontId="21" fillId="9" borderId="0" xfId="0" applyNumberFormat="1" applyFont="1" applyFill="1" applyAlignment="1">
      <alignment horizontal="right" vertical="center" wrapText="1"/>
    </xf>
    <xf numFmtId="0" fontId="26" fillId="10" borderId="0" xfId="0" applyFont="1" applyFill="1" applyAlignment="1">
      <alignment horizontal="left" vertical="center"/>
    </xf>
    <xf numFmtId="0" fontId="26" fillId="10" borderId="0" xfId="0" applyFont="1" applyFill="1" applyAlignment="1">
      <alignment horizontal="left" vertical="center" indent="2"/>
    </xf>
    <xf numFmtId="171" fontId="24" fillId="9" borderId="16" xfId="0" applyNumberFormat="1" applyFont="1" applyFill="1" applyBorder="1" applyAlignment="1">
      <alignment horizontal="right" vertical="center" wrapText="1"/>
    </xf>
    <xf numFmtId="0" fontId="21" fillId="10" borderId="15" xfId="0" applyFont="1" applyFill="1" applyBorder="1" applyAlignment="1">
      <alignment horizontal="left" vertical="center" indent="2"/>
    </xf>
    <xf numFmtId="171" fontId="24" fillId="9" borderId="15" xfId="0" applyNumberFormat="1" applyFont="1" applyFill="1" applyBorder="1" applyAlignment="1">
      <alignment horizontal="right" vertical="center" wrapText="1"/>
    </xf>
    <xf numFmtId="171" fontId="24" fillId="9" borderId="17" xfId="0" applyNumberFormat="1" applyFont="1" applyFill="1" applyBorder="1" applyAlignment="1">
      <alignment horizontal="right" vertical="center" wrapText="1"/>
    </xf>
    <xf numFmtId="171" fontId="25" fillId="9" borderId="5" xfId="0" applyNumberFormat="1" applyFont="1" applyFill="1" applyBorder="1" applyAlignment="1">
      <alignment horizontal="right" vertical="center" wrapText="1"/>
    </xf>
    <xf numFmtId="171" fontId="25" fillId="9" borderId="0" xfId="0" applyNumberFormat="1" applyFont="1" applyFill="1" applyAlignment="1">
      <alignment horizontal="right" vertical="center" wrapText="1"/>
    </xf>
    <xf numFmtId="171" fontId="24" fillId="9" borderId="18" xfId="0" applyNumberFormat="1" applyFont="1" applyFill="1" applyBorder="1" applyAlignment="1">
      <alignment horizontal="right" vertical="center" wrapText="1"/>
    </xf>
    <xf numFmtId="171" fontId="24" fillId="9" borderId="5" xfId="0" applyNumberFormat="1" applyFont="1" applyFill="1" applyBorder="1" applyAlignment="1">
      <alignment horizontal="right" vertical="center" wrapText="1"/>
    </xf>
    <xf numFmtId="0" fontId="26" fillId="9" borderId="0" xfId="0" applyFont="1" applyFill="1" applyAlignment="1">
      <alignment horizontal="left" vertical="center" indent="2"/>
    </xf>
    <xf numFmtId="0" fontId="21" fillId="10" borderId="0" xfId="0" applyFont="1" applyFill="1" applyAlignment="1">
      <alignment horizontal="left" vertical="center"/>
    </xf>
    <xf numFmtId="0" fontId="26" fillId="10" borderId="1" xfId="0" applyFont="1" applyFill="1" applyBorder="1" applyAlignment="1">
      <alignment horizontal="left" vertical="center"/>
    </xf>
    <xf numFmtId="172" fontId="16" fillId="8" borderId="0" xfId="0" applyNumberFormat="1" applyFont="1" applyFill="1"/>
    <xf numFmtId="173" fontId="16" fillId="8" borderId="0" xfId="0" applyNumberFormat="1" applyFont="1" applyFill="1"/>
    <xf numFmtId="10" fontId="27" fillId="0" borderId="0" xfId="0" applyNumberFormat="1" applyFont="1"/>
    <xf numFmtId="0" fontId="0" fillId="0" borderId="0" xfId="0" applyAlignment="1">
      <alignment horizontal="center"/>
    </xf>
    <xf numFmtId="0" fontId="10" fillId="0" borderId="15" xfId="0" applyFont="1" applyBorder="1"/>
    <xf numFmtId="0" fontId="10" fillId="0" borderId="8" xfId="0" applyFont="1" applyBorder="1" applyAlignment="1">
      <alignment horizontal="center"/>
    </xf>
    <xf numFmtId="0" fontId="0" fillId="7" borderId="0" xfId="0" applyFill="1"/>
    <xf numFmtId="10" fontId="13" fillId="7" borderId="0" xfId="0" applyNumberFormat="1" applyFont="1" applyFill="1"/>
    <xf numFmtId="10" fontId="0" fillId="7" borderId="0" xfId="0" applyNumberFormat="1" applyFill="1"/>
    <xf numFmtId="0" fontId="0" fillId="0" borderId="10" xfId="0" applyBorder="1"/>
    <xf numFmtId="10" fontId="0" fillId="0" borderId="10" xfId="0" applyNumberFormat="1" applyBorder="1"/>
    <xf numFmtId="0" fontId="10" fillId="0" borderId="8" xfId="0" applyFont="1" applyBorder="1"/>
    <xf numFmtId="0" fontId="16" fillId="8" borderId="0" xfId="0" applyFont="1" applyFill="1" applyAlignment="1">
      <alignment horizontal="center"/>
    </xf>
    <xf numFmtId="17" fontId="3" fillId="4" borderId="0" xfId="0" applyNumberFormat="1" applyFont="1" applyFill="1" applyAlignment="1">
      <alignment horizontal="center"/>
    </xf>
    <xf numFmtId="0" fontId="0" fillId="0" borderId="16" xfId="0" applyBorder="1"/>
    <xf numFmtId="9" fontId="0" fillId="0" borderId="16" xfId="4" applyFont="1" applyBorder="1" applyAlignment="1">
      <alignment horizontal="right"/>
    </xf>
    <xf numFmtId="9" fontId="0" fillId="0" borderId="0" xfId="4" applyFont="1" applyBorder="1" applyAlignment="1">
      <alignment horizontal="right"/>
    </xf>
    <xf numFmtId="0" fontId="0" fillId="0" borderId="18" xfId="0" applyBorder="1"/>
    <xf numFmtId="9" fontId="0" fillId="0" borderId="18" xfId="4" applyFont="1" applyBorder="1" applyAlignment="1">
      <alignment horizontal="right"/>
    </xf>
    <xf numFmtId="9" fontId="0" fillId="0" borderId="16" xfId="0" applyNumberFormat="1" applyBorder="1"/>
    <xf numFmtId="9" fontId="0" fillId="0" borderId="18" xfId="0" applyNumberFormat="1" applyBorder="1"/>
    <xf numFmtId="174" fontId="0" fillId="0" borderId="18" xfId="0" applyNumberFormat="1" applyBorder="1"/>
    <xf numFmtId="174" fontId="0" fillId="0" borderId="16" xfId="0" applyNumberFormat="1" applyBorder="1"/>
    <xf numFmtId="174" fontId="0" fillId="0" borderId="0" xfId="0" applyNumberFormat="1"/>
    <xf numFmtId="1" fontId="0" fillId="0" borderId="16" xfId="0" applyNumberFormat="1" applyBorder="1"/>
    <xf numFmtId="2" fontId="0" fillId="0" borderId="16" xfId="0" applyNumberFormat="1" applyBorder="1"/>
    <xf numFmtId="1" fontId="0" fillId="0" borderId="0" xfId="0" applyNumberFormat="1"/>
    <xf numFmtId="1" fontId="0" fillId="0" borderId="18" xfId="0" applyNumberFormat="1" applyBorder="1"/>
    <xf numFmtId="2" fontId="0" fillId="0" borderId="18" xfId="0" applyNumberFormat="1" applyBorder="1"/>
    <xf numFmtId="0" fontId="16" fillId="8" borderId="0" xfId="0" applyFont="1" applyFill="1" applyAlignment="1">
      <alignment horizontal="right"/>
    </xf>
    <xf numFmtId="167" fontId="2" fillId="0" borderId="7" xfId="0" applyNumberFormat="1" applyFont="1" applyBorder="1"/>
    <xf numFmtId="166" fontId="2" fillId="0" borderId="8" xfId="0" applyNumberFormat="1" applyFont="1" applyBorder="1"/>
    <xf numFmtId="0" fontId="10" fillId="0" borderId="2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right" vertical="center" wrapText="1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left"/>
    </xf>
    <xf numFmtId="175" fontId="0" fillId="0" borderId="20" xfId="0" applyNumberFormat="1" applyBorder="1"/>
    <xf numFmtId="168" fontId="0" fillId="0" borderId="20" xfId="0" applyNumberFormat="1" applyBorder="1"/>
    <xf numFmtId="0" fontId="0" fillId="0" borderId="20" xfId="0" applyBorder="1"/>
    <xf numFmtId="10" fontId="0" fillId="0" borderId="20" xfId="4" applyNumberFormat="1" applyFont="1" applyBorder="1"/>
    <xf numFmtId="0" fontId="0" fillId="7" borderId="20" xfId="0" applyFill="1" applyBorder="1" applyAlignment="1">
      <alignment horizontal="left"/>
    </xf>
    <xf numFmtId="176" fontId="0" fillId="7" borderId="20" xfId="0" applyNumberFormat="1" applyFill="1" applyBorder="1"/>
    <xf numFmtId="168" fontId="0" fillId="7" borderId="20" xfId="0" applyNumberFormat="1" applyFill="1" applyBorder="1"/>
    <xf numFmtId="10" fontId="0" fillId="7" borderId="20" xfId="4" applyNumberFormat="1" applyFont="1" applyFill="1" applyBorder="1"/>
    <xf numFmtId="10" fontId="2" fillId="0" borderId="0" xfId="4" applyNumberFormat="1" applyFont="1"/>
    <xf numFmtId="177" fontId="0" fillId="0" borderId="10" xfId="0" applyNumberFormat="1" applyBorder="1"/>
    <xf numFmtId="10" fontId="2" fillId="0" borderId="0" xfId="0" applyNumberFormat="1" applyFont="1" applyAlignment="1">
      <alignment horizontal="left"/>
    </xf>
    <xf numFmtId="177" fontId="0" fillId="7" borderId="10" xfId="0" applyNumberFormat="1" applyFill="1" applyBorder="1"/>
    <xf numFmtId="0" fontId="6" fillId="8" borderId="0" xfId="0" applyFont="1" applyFill="1" applyAlignment="1">
      <alignment wrapText="1"/>
    </xf>
    <xf numFmtId="0" fontId="6" fillId="8" borderId="22" xfId="0" applyFont="1" applyFill="1" applyBorder="1" applyAlignment="1">
      <alignment wrapText="1"/>
    </xf>
    <xf numFmtId="2" fontId="0" fillId="0" borderId="0" xfId="4" applyNumberFormat="1" applyFont="1"/>
    <xf numFmtId="0" fontId="6" fillId="8" borderId="0" xfId="0" applyFont="1" applyFill="1" applyAlignment="1">
      <alignment horizontal="right"/>
    </xf>
    <xf numFmtId="0" fontId="0" fillId="7" borderId="7" xfId="0" applyFill="1" applyBorder="1" applyAlignment="1">
      <alignment horizontal="left"/>
    </xf>
    <xf numFmtId="0" fontId="0" fillId="7" borderId="7" xfId="0" applyFill="1" applyBorder="1"/>
    <xf numFmtId="179" fontId="0" fillId="7" borderId="7" xfId="0" applyNumberFormat="1" applyFill="1" applyBorder="1"/>
    <xf numFmtId="0" fontId="0" fillId="0" borderId="7" xfId="0" applyBorder="1" applyAlignment="1">
      <alignment horizontal="left"/>
    </xf>
    <xf numFmtId="0" fontId="0" fillId="0" borderId="7" xfId="0" applyBorder="1"/>
    <xf numFmtId="179" fontId="0" fillId="0" borderId="7" xfId="0" applyNumberFormat="1" applyBorder="1"/>
    <xf numFmtId="0" fontId="3" fillId="8" borderId="2" xfId="0" applyFont="1" applyFill="1" applyBorder="1"/>
    <xf numFmtId="3" fontId="0" fillId="7" borderId="7" xfId="0" applyNumberFormat="1" applyFill="1" applyBorder="1"/>
    <xf numFmtId="3" fontId="0" fillId="0" borderId="7" xfId="0" applyNumberFormat="1" applyBorder="1"/>
    <xf numFmtId="4" fontId="0" fillId="7" borderId="7" xfId="0" applyNumberFormat="1" applyFill="1" applyBorder="1"/>
    <xf numFmtId="4" fontId="0" fillId="0" borderId="7" xfId="0" applyNumberFormat="1" applyBorder="1"/>
    <xf numFmtId="4" fontId="0" fillId="0" borderId="0" xfId="0" applyNumberFormat="1"/>
    <xf numFmtId="0" fontId="2" fillId="7" borderId="7" xfId="0" applyFont="1" applyFill="1" applyBorder="1"/>
    <xf numFmtId="179" fontId="2" fillId="7" borderId="7" xfId="0" applyNumberFormat="1" applyFont="1" applyFill="1" applyBorder="1"/>
    <xf numFmtId="0" fontId="28" fillId="0" borderId="19" xfId="0" applyFont="1" applyBorder="1"/>
    <xf numFmtId="0" fontId="0" fillId="0" borderId="19" xfId="0" applyBorder="1"/>
    <xf numFmtId="0" fontId="2" fillId="7" borderId="15" xfId="0" applyFont="1" applyFill="1" applyBorder="1"/>
    <xf numFmtId="178" fontId="2" fillId="7" borderId="15" xfId="0" applyNumberFormat="1" applyFont="1" applyFill="1" applyBorder="1"/>
    <xf numFmtId="0" fontId="15" fillId="0" borderId="0" xfId="0" applyFont="1"/>
    <xf numFmtId="0" fontId="6" fillId="6" borderId="0" xfId="0" applyFont="1" applyFill="1" applyAlignment="1">
      <alignment horizontal="center"/>
    </xf>
    <xf numFmtId="0" fontId="17" fillId="0" borderId="0" xfId="0" applyFont="1" applyAlignment="1">
      <alignment wrapText="1"/>
    </xf>
    <xf numFmtId="9" fontId="0" fillId="0" borderId="10" xfId="4" applyFont="1" applyBorder="1"/>
    <xf numFmtId="0" fontId="0" fillId="0" borderId="5" xfId="0" applyBorder="1"/>
    <xf numFmtId="0" fontId="31" fillId="0" borderId="27" xfId="0" applyFont="1" applyBorder="1" applyAlignment="1">
      <alignment vertical="center" readingOrder="1"/>
    </xf>
    <xf numFmtId="0" fontId="0" fillId="0" borderId="28" xfId="0" applyBorder="1"/>
    <xf numFmtId="0" fontId="0" fillId="0" borderId="24" xfId="0" applyBorder="1"/>
    <xf numFmtId="0" fontId="0" fillId="0" borderId="26" xfId="0" applyBorder="1"/>
    <xf numFmtId="2" fontId="0" fillId="7" borderId="0" xfId="0" applyNumberFormat="1" applyFill="1" applyAlignment="1">
      <alignment horizontal="right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4" fontId="2" fillId="7" borderId="0" xfId="0" applyNumberFormat="1" applyFont="1" applyFill="1" applyAlignment="1">
      <alignment horizontal="right" vertical="center" wrapText="1"/>
    </xf>
    <xf numFmtId="0" fontId="2" fillId="7" borderId="0" xfId="0" applyFont="1" applyFill="1" applyAlignment="1">
      <alignment horizontal="center" vertical="center" wrapText="1"/>
    </xf>
    <xf numFmtId="2" fontId="2" fillId="7" borderId="0" xfId="0" applyNumberFormat="1" applyFont="1" applyFill="1" applyAlignment="1">
      <alignment horizontal="right" vertical="center" wrapText="1"/>
    </xf>
    <xf numFmtId="0" fontId="31" fillId="0" borderId="0" xfId="0" applyFont="1"/>
    <xf numFmtId="0" fontId="0" fillId="0" borderId="0" xfId="0" applyAlignment="1">
      <alignment wrapText="1"/>
    </xf>
    <xf numFmtId="0" fontId="31" fillId="7" borderId="0" xfId="0" applyFont="1" applyFill="1"/>
    <xf numFmtId="180" fontId="0" fillId="0" borderId="0" xfId="0" applyNumberFormat="1"/>
    <xf numFmtId="0" fontId="31" fillId="0" borderId="0" xfId="0" applyFont="1" applyAlignment="1">
      <alignment horizontal="center"/>
    </xf>
    <xf numFmtId="0" fontId="0" fillId="6" borderId="0" xfId="0" applyFill="1"/>
    <xf numFmtId="2" fontId="0" fillId="0" borderId="0" xfId="0" applyNumberFormat="1" applyAlignment="1">
      <alignment wrapText="1"/>
    </xf>
    <xf numFmtId="0" fontId="31" fillId="6" borderId="0" xfId="0" applyFont="1" applyFill="1"/>
    <xf numFmtId="10" fontId="0" fillId="0" borderId="0" xfId="0" applyNumberFormat="1" applyAlignment="1">
      <alignment horizontal="right"/>
    </xf>
    <xf numFmtId="9" fontId="0" fillId="0" borderId="0" xfId="4" applyFont="1"/>
    <xf numFmtId="10" fontId="0" fillId="6" borderId="0" xfId="0" applyNumberFormat="1" applyFill="1"/>
    <xf numFmtId="7" fontId="0" fillId="0" borderId="10" xfId="0" applyNumberFormat="1" applyBorder="1"/>
    <xf numFmtId="7" fontId="0" fillId="0" borderId="0" xfId="0" applyNumberFormat="1"/>
    <xf numFmtId="7" fontId="0" fillId="0" borderId="3" xfId="0" applyNumberFormat="1" applyBorder="1"/>
    <xf numFmtId="7" fontId="10" fillId="0" borderId="8" xfId="0" applyNumberFormat="1" applyFont="1" applyBorder="1"/>
    <xf numFmtId="7" fontId="32" fillId="0" borderId="10" xfId="0" applyNumberFormat="1" applyFont="1" applyBorder="1"/>
    <xf numFmtId="7" fontId="10" fillId="0" borderId="15" xfId="0" applyNumberFormat="1" applyFont="1" applyBorder="1"/>
    <xf numFmtId="7" fontId="6" fillId="0" borderId="0" xfId="0" applyNumberFormat="1" applyFont="1"/>
    <xf numFmtId="0" fontId="6" fillId="0" borderId="0" xfId="0" applyFont="1"/>
    <xf numFmtId="3" fontId="0" fillId="0" borderId="10" xfId="0" applyNumberFormat="1" applyBorder="1"/>
    <xf numFmtId="0" fontId="33" fillId="8" borderId="0" xfId="0" applyFont="1" applyFill="1" applyAlignment="1">
      <alignment horizontal="center"/>
    </xf>
    <xf numFmtId="43" fontId="34" fillId="0" borderId="0" xfId="0" applyNumberFormat="1" applyFont="1" applyAlignment="1">
      <alignment horizontal="center"/>
    </xf>
    <xf numFmtId="0" fontId="1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0" fontId="17" fillId="0" borderId="2" xfId="0" applyFont="1" applyBorder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6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7" fillId="0" borderId="23" xfId="0" applyFont="1" applyBorder="1" applyAlignment="1">
      <alignment wrapText="1"/>
    </xf>
    <xf numFmtId="0" fontId="17" fillId="0" borderId="24" xfId="0" applyFont="1" applyBorder="1" applyAlignment="1">
      <alignment wrapText="1"/>
    </xf>
    <xf numFmtId="0" fontId="17" fillId="0" borderId="25" xfId="0" applyFont="1" applyBorder="1" applyAlignment="1">
      <alignment wrapText="1"/>
    </xf>
    <xf numFmtId="0" fontId="17" fillId="0" borderId="26" xfId="0" applyFont="1" applyBorder="1" applyAlignment="1">
      <alignment wrapText="1"/>
    </xf>
    <xf numFmtId="0" fontId="30" fillId="0" borderId="23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25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29" fillId="8" borderId="0" xfId="0" applyFont="1" applyFill="1" applyAlignment="1">
      <alignment horizontal="center"/>
    </xf>
    <xf numFmtId="0" fontId="6" fillId="8" borderId="21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43" fontId="5" fillId="0" borderId="0" xfId="2" applyNumberFormat="1" applyBorder="1" applyAlignment="1" applyProtection="1">
      <alignment horizontal="center"/>
    </xf>
    <xf numFmtId="43" fontId="3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Field'!$L$5:$L$9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Field'!$M$5:$M$9</c:f>
              <c:numCache>
                <c:formatCode>General</c:formatCode>
                <c:ptCount val="5"/>
                <c:pt idx="0">
                  <c:v>2021.3</c:v>
                </c:pt>
                <c:pt idx="1">
                  <c:v>578.6</c:v>
                </c:pt>
                <c:pt idx="2">
                  <c:v>637.79999999999995</c:v>
                </c:pt>
                <c:pt idx="3">
                  <c:v>708.2</c:v>
                </c:pt>
                <c:pt idx="4">
                  <c:v>2022.5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A-426A-B6A4-D3F45DDAEAA4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Field'!$L$5:$L$9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Field'!$N$5:$N$9</c:f>
              <c:numCache>
                <c:formatCode>General</c:formatCode>
                <c:ptCount val="5"/>
                <c:pt idx="0">
                  <c:v>2021.3</c:v>
                </c:pt>
                <c:pt idx="1">
                  <c:v>578.6</c:v>
                </c:pt>
                <c:pt idx="2">
                  <c:v>637.79999999999995</c:v>
                </c:pt>
                <c:pt idx="3">
                  <c:v>708.2</c:v>
                </c:pt>
                <c:pt idx="4">
                  <c:v>2022.5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A-426A-B6A4-D3F45DDAEAA4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Field'!$L$5:$L$9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Field'!$O$5:$O$9</c:f>
              <c:numCache>
                <c:formatCode>General</c:formatCode>
                <c:ptCount val="5"/>
                <c:pt idx="0">
                  <c:v>3434.9</c:v>
                </c:pt>
                <c:pt idx="1">
                  <c:v>733.8</c:v>
                </c:pt>
                <c:pt idx="2">
                  <c:v>853.4</c:v>
                </c:pt>
                <c:pt idx="3">
                  <c:v>1015.2</c:v>
                </c:pt>
                <c:pt idx="4">
                  <c:v>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9A-426A-B6A4-D3F45DDAEAA4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Field'!$L$5:$L$9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Field'!$P$5:$P$9</c:f>
              <c:numCache>
                <c:formatCode>General</c:formatCode>
                <c:ptCount val="5"/>
                <c:pt idx="0">
                  <c:v>3434.9</c:v>
                </c:pt>
                <c:pt idx="1">
                  <c:v>733.8</c:v>
                </c:pt>
                <c:pt idx="2">
                  <c:v>853.4</c:v>
                </c:pt>
                <c:pt idx="3">
                  <c:v>1015.2</c:v>
                </c:pt>
                <c:pt idx="4">
                  <c:v>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9A-426A-B6A4-D3F45DDAE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535794239"/>
        <c:axId val="1535806239"/>
      </c:stockChart>
      <c:catAx>
        <c:axId val="153579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06239"/>
        <c:crosses val="autoZero"/>
        <c:auto val="1"/>
        <c:lblAlgn val="ctr"/>
        <c:lblOffset val="100"/>
        <c:noMultiLvlLbl val="0"/>
      </c:catAx>
      <c:valAx>
        <c:axId val="1535806239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79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413091</xdr:colOff>
      <xdr:row>8</xdr:row>
      <xdr:rowOff>53340</xdr:rowOff>
    </xdr:from>
    <xdr:to>
      <xdr:col>5</xdr:col>
      <xdr:colOff>436861</xdr:colOff>
      <xdr:row>10</xdr:row>
      <xdr:rowOff>152704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C80318-1EC9-33A4-9CAD-574B2BDA4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831" y="1516380"/>
          <a:ext cx="1242970" cy="465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</xdr:row>
      <xdr:rowOff>129540</xdr:rowOff>
    </xdr:from>
    <xdr:to>
      <xdr:col>10</xdr:col>
      <xdr:colOff>7620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1254D-074A-AF6D-DA9B-25F643EDE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</xdr:colOff>
      <xdr:row>12</xdr:row>
      <xdr:rowOff>38100</xdr:rowOff>
    </xdr:from>
    <xdr:to>
      <xdr:col>9</xdr:col>
      <xdr:colOff>510540</xdr:colOff>
      <xdr:row>12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DEF0E3F-73D5-FCFE-585F-F8B23A950753}"/>
            </a:ext>
          </a:extLst>
        </xdr:cNvPr>
        <xdr:cNvCxnSpPr/>
      </xdr:nvCxnSpPr>
      <xdr:spPr>
        <a:xfrm>
          <a:off x="792480" y="2232660"/>
          <a:ext cx="4724400" cy="0"/>
        </a:xfrm>
        <a:prstGeom prst="line">
          <a:avLst/>
        </a:prstGeom>
        <a:ln>
          <a:solidFill>
            <a:srgbClr val="FFC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screener.in/excel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AB6D-1331-4CBD-8AE7-2B898238847F}">
  <sheetPr>
    <pageSetUpPr fitToPage="1"/>
  </sheetPr>
  <dimension ref="B2:H22"/>
  <sheetViews>
    <sheetView showGridLines="0" workbookViewId="0">
      <selection activeCell="J15" sqref="J15"/>
    </sheetView>
  </sheetViews>
  <sheetFormatPr defaultRowHeight="14.4" x14ac:dyDescent="0.3"/>
  <cols>
    <col min="1" max="1" width="1.88671875" customWidth="1"/>
  </cols>
  <sheetData>
    <row r="2" spans="2:8" x14ac:dyDescent="0.3">
      <c r="B2" s="251" t="s">
        <v>458</v>
      </c>
      <c r="C2" s="251"/>
      <c r="D2" s="251"/>
      <c r="E2" s="251"/>
      <c r="F2" s="251"/>
      <c r="G2" s="251"/>
      <c r="H2" s="251"/>
    </row>
    <row r="3" spans="2:8" x14ac:dyDescent="0.3">
      <c r="B3" s="251"/>
      <c r="C3" s="251"/>
      <c r="D3" s="251"/>
      <c r="E3" s="251"/>
      <c r="F3" s="251"/>
      <c r="G3" s="251"/>
      <c r="H3" s="251"/>
    </row>
    <row r="4" spans="2:8" x14ac:dyDescent="0.3">
      <c r="B4" s="251"/>
      <c r="C4" s="251"/>
      <c r="D4" s="251"/>
      <c r="E4" s="251"/>
      <c r="F4" s="251"/>
      <c r="G4" s="251"/>
      <c r="H4" s="251"/>
    </row>
    <row r="7" spans="2:8" ht="14.4" customHeight="1" x14ac:dyDescent="0.3">
      <c r="B7" s="252" t="str">
        <f>'Data Sheet'!B1</f>
        <v>HINDUSTAN UNILEVER LTD</v>
      </c>
      <c r="C7" s="252"/>
      <c r="D7" s="252"/>
      <c r="E7" s="252"/>
      <c r="F7" s="252"/>
      <c r="G7" s="252"/>
      <c r="H7" s="252"/>
    </row>
    <row r="8" spans="2:8" ht="14.4" customHeight="1" x14ac:dyDescent="0.3">
      <c r="B8" s="252"/>
      <c r="C8" s="252"/>
      <c r="D8" s="252"/>
      <c r="E8" s="252"/>
      <c r="F8" s="252"/>
      <c r="G8" s="252"/>
      <c r="H8" s="252"/>
    </row>
    <row r="14" spans="2:8" x14ac:dyDescent="0.3">
      <c r="E14" t="s">
        <v>465</v>
      </c>
    </row>
    <row r="16" spans="2:8" x14ac:dyDescent="0.3">
      <c r="E16" s="2" t="s">
        <v>459</v>
      </c>
    </row>
    <row r="17" spans="3:4" x14ac:dyDescent="0.3">
      <c r="D17" t="s">
        <v>460</v>
      </c>
    </row>
    <row r="18" spans="3:4" x14ac:dyDescent="0.3">
      <c r="D18" t="s">
        <v>462</v>
      </c>
    </row>
    <row r="19" spans="3:4" x14ac:dyDescent="0.3">
      <c r="D19" t="s">
        <v>461</v>
      </c>
    </row>
    <row r="20" spans="3:4" x14ac:dyDescent="0.3">
      <c r="D20" t="s">
        <v>463</v>
      </c>
    </row>
    <row r="22" spans="3:4" x14ac:dyDescent="0.3">
      <c r="C22" t="s">
        <v>464</v>
      </c>
    </row>
  </sheetData>
  <mergeCells count="2">
    <mergeCell ref="B2:H4"/>
    <mergeCell ref="B7:H8"/>
  </mergeCells>
  <pageMargins left="1.6141732283464567" right="0.23622047244094491" top="2.1259842519685042" bottom="0.51181102362204722" header="0.23622047244094491" footer="0.23622047244094491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B47D-84ED-4AE3-9788-F1577DA27556}">
  <sheetPr>
    <pageSetUpPr fitToPage="1"/>
  </sheetPr>
  <dimension ref="B2:Q63"/>
  <sheetViews>
    <sheetView showGridLines="0" zoomScaleNormal="100" workbookViewId="0">
      <selection activeCell="B63" sqref="B63"/>
    </sheetView>
  </sheetViews>
  <sheetFormatPr defaultRowHeight="14.4" x14ac:dyDescent="0.3"/>
  <cols>
    <col min="1" max="1" width="1.88671875" customWidth="1"/>
    <col min="2" max="2" width="12.77734375" customWidth="1"/>
  </cols>
  <sheetData>
    <row r="2" spans="2:10" x14ac:dyDescent="0.3">
      <c r="B2" s="258" t="str">
        <f>IFERROR('Data Sheet'!B1&amp; " - DCF Valuation",0)</f>
        <v>HINDUSTAN UNILEVER LTD - DCF Valuation</v>
      </c>
      <c r="C2" s="258"/>
      <c r="D2" s="258"/>
      <c r="E2" s="258"/>
      <c r="F2" s="258"/>
      <c r="G2" s="258"/>
      <c r="H2" s="258"/>
      <c r="I2" s="87"/>
      <c r="J2" s="87"/>
    </row>
    <row r="3" spans="2:10" x14ac:dyDescent="0.3">
      <c r="B3" s="233" t="s">
        <v>413</v>
      </c>
      <c r="C3" s="233"/>
      <c r="D3" s="231"/>
    </row>
    <row r="4" spans="2:10" x14ac:dyDescent="0.3">
      <c r="B4" s="238"/>
      <c r="C4" s="238"/>
      <c r="D4" s="231"/>
    </row>
    <row r="5" spans="2:10" x14ac:dyDescent="0.3">
      <c r="B5" s="87" t="s">
        <v>404</v>
      </c>
      <c r="C5" s="87"/>
      <c r="D5" s="87"/>
      <c r="E5" s="87"/>
      <c r="F5" s="87"/>
      <c r="G5" s="87"/>
      <c r="H5" s="87"/>
      <c r="I5" s="87"/>
      <c r="J5" s="87"/>
    </row>
    <row r="6" spans="2:10" s="236" customFormat="1" ht="4.8" customHeight="1" x14ac:dyDescent="0.3">
      <c r="B6" s="74"/>
      <c r="C6" s="74"/>
      <c r="D6" s="74"/>
    </row>
    <row r="7" spans="2:10" ht="14.4" customHeight="1" x14ac:dyDescent="0.3">
      <c r="B7" s="256" t="s">
        <v>443</v>
      </c>
      <c r="C7" s="256"/>
      <c r="D7" s="256"/>
      <c r="E7" s="256"/>
      <c r="F7" s="256"/>
      <c r="G7" s="256"/>
      <c r="H7" s="256"/>
      <c r="I7" s="256"/>
      <c r="J7" s="256"/>
    </row>
    <row r="8" spans="2:10" x14ac:dyDescent="0.3">
      <c r="B8" s="256"/>
      <c r="C8" s="256"/>
      <c r="D8" s="256"/>
      <c r="E8" s="256"/>
      <c r="F8" s="256"/>
      <c r="G8" s="256"/>
      <c r="H8" s="256"/>
      <c r="I8" s="256"/>
      <c r="J8" s="256"/>
    </row>
    <row r="9" spans="2:10" x14ac:dyDescent="0.3">
      <c r="B9" s="232"/>
      <c r="C9" s="232"/>
      <c r="D9" s="232"/>
      <c r="E9" s="232"/>
      <c r="F9" s="232"/>
      <c r="G9" s="232"/>
      <c r="H9" s="232"/>
      <c r="I9" s="232"/>
      <c r="J9" s="232"/>
    </row>
    <row r="10" spans="2:10" x14ac:dyDescent="0.3">
      <c r="B10" s="87" t="s">
        <v>405</v>
      </c>
      <c r="C10" s="87"/>
      <c r="D10" s="87"/>
      <c r="E10" s="87"/>
      <c r="F10" s="87"/>
      <c r="G10" s="87"/>
      <c r="H10" s="87"/>
      <c r="I10" s="87"/>
      <c r="J10" s="87"/>
    </row>
    <row r="11" spans="2:10" s="236" customFormat="1" ht="4.2" customHeight="1" x14ac:dyDescent="0.3">
      <c r="B11" s="74"/>
      <c r="C11" s="74"/>
      <c r="D11" s="74"/>
      <c r="E11" s="74"/>
      <c r="F11" s="74"/>
      <c r="G11" s="74"/>
      <c r="H11" s="74"/>
      <c r="I11" s="74"/>
    </row>
    <row r="12" spans="2:10" ht="14.4" customHeight="1" x14ac:dyDescent="0.3">
      <c r="B12" t="s">
        <v>445</v>
      </c>
      <c r="C12" s="256" t="s">
        <v>446</v>
      </c>
      <c r="D12" s="256"/>
      <c r="E12" s="256"/>
      <c r="F12" s="256"/>
      <c r="G12" s="256"/>
      <c r="H12" s="256"/>
      <c r="I12" s="256"/>
      <c r="J12" s="256"/>
    </row>
    <row r="13" spans="2:10" x14ac:dyDescent="0.3">
      <c r="B13" t="s">
        <v>421</v>
      </c>
      <c r="C13" t="s">
        <v>420</v>
      </c>
    </row>
    <row r="14" spans="2:10" x14ac:dyDescent="0.3">
      <c r="B14" t="s">
        <v>423</v>
      </c>
      <c r="C14" t="s">
        <v>422</v>
      </c>
    </row>
    <row r="15" spans="2:10" x14ac:dyDescent="0.3">
      <c r="B15" t="s">
        <v>424</v>
      </c>
      <c r="C15" t="s">
        <v>425</v>
      </c>
    </row>
    <row r="16" spans="2:10" x14ac:dyDescent="0.3">
      <c r="B16" t="s">
        <v>426</v>
      </c>
      <c r="C16" t="s">
        <v>427</v>
      </c>
    </row>
    <row r="18" spans="2:17" x14ac:dyDescent="0.3">
      <c r="B18" s="145" t="s">
        <v>428</v>
      </c>
      <c r="C18" t="s">
        <v>452</v>
      </c>
    </row>
    <row r="19" spans="2:17" x14ac:dyDescent="0.3">
      <c r="C19" s="9" t="s">
        <v>429</v>
      </c>
    </row>
    <row r="21" spans="2:17" x14ac:dyDescent="0.3">
      <c r="B21" s="87" t="s">
        <v>406</v>
      </c>
      <c r="C21" s="87"/>
      <c r="D21" s="87"/>
      <c r="E21" s="87"/>
      <c r="F21" s="87"/>
      <c r="G21" s="87"/>
      <c r="H21" s="87"/>
      <c r="I21" s="87"/>
      <c r="J21" s="87"/>
    </row>
    <row r="22" spans="2:17" s="236" customFormat="1" ht="4.2" customHeight="1" x14ac:dyDescent="0.3">
      <c r="B22" s="74"/>
      <c r="C22" s="74"/>
      <c r="D22" s="74"/>
      <c r="E22" s="74"/>
    </row>
    <row r="23" spans="2:17" x14ac:dyDescent="0.3">
      <c r="B23" t="s">
        <v>430</v>
      </c>
      <c r="C23" t="s">
        <v>431</v>
      </c>
    </row>
    <row r="24" spans="2:17" ht="14.4" customHeight="1" x14ac:dyDescent="0.3">
      <c r="B24" t="s">
        <v>444</v>
      </c>
      <c r="C24" s="256" t="s">
        <v>447</v>
      </c>
      <c r="D24" s="256"/>
      <c r="E24" s="256"/>
      <c r="F24" s="256"/>
      <c r="G24" s="256"/>
      <c r="H24" s="256"/>
      <c r="I24" s="256"/>
      <c r="J24" s="256"/>
    </row>
    <row r="25" spans="2:17" x14ac:dyDescent="0.3">
      <c r="C25" s="256"/>
      <c r="D25" s="256"/>
      <c r="E25" s="256"/>
      <c r="F25" s="256"/>
      <c r="G25" s="256"/>
      <c r="H25" s="256"/>
      <c r="I25" s="256"/>
      <c r="J25" s="256"/>
    </row>
    <row r="26" spans="2:17" x14ac:dyDescent="0.3">
      <c r="C26" s="256"/>
      <c r="D26" s="256"/>
      <c r="E26" s="256"/>
      <c r="F26" s="256"/>
      <c r="G26" s="256"/>
      <c r="H26" s="256"/>
      <c r="I26" s="256"/>
      <c r="J26" s="256"/>
    </row>
    <row r="27" spans="2:17" x14ac:dyDescent="0.3">
      <c r="C27" s="232"/>
      <c r="D27" s="232"/>
      <c r="E27" s="232"/>
      <c r="F27" s="232"/>
      <c r="G27" s="232"/>
      <c r="H27" s="232"/>
      <c r="I27" s="232"/>
      <c r="J27" s="232"/>
    </row>
    <row r="28" spans="2:17" x14ac:dyDescent="0.3">
      <c r="B28" s="87" t="s">
        <v>407</v>
      </c>
      <c r="C28" s="87"/>
      <c r="D28" s="87"/>
      <c r="E28" s="87"/>
      <c r="F28" s="87"/>
      <c r="G28" s="87"/>
      <c r="H28" s="87"/>
      <c r="I28" s="87"/>
      <c r="J28" s="87"/>
    </row>
    <row r="29" spans="2:17" s="236" customFormat="1" ht="4.2" customHeight="1" x14ac:dyDescent="0.3">
      <c r="B29" s="74"/>
      <c r="C29" s="74"/>
      <c r="D29" s="74"/>
      <c r="E29" s="74"/>
    </row>
    <row r="30" spans="2:17" x14ac:dyDescent="0.3">
      <c r="B30" t="s">
        <v>432</v>
      </c>
      <c r="D30" s="4">
        <f>WACC!J22</f>
        <v>6.8400000000000002E-2</v>
      </c>
      <c r="E30" t="s">
        <v>436</v>
      </c>
    </row>
    <row r="31" spans="2:17" x14ac:dyDescent="0.3">
      <c r="B31" t="s">
        <v>433</v>
      </c>
      <c r="D31" s="239">
        <f>WACC!J23</f>
        <v>5.1400000000000001E-2</v>
      </c>
      <c r="E31" t="s">
        <v>437</v>
      </c>
    </row>
    <row r="32" spans="2:17" ht="14.4" customHeight="1" x14ac:dyDescent="0.3">
      <c r="B32" t="s">
        <v>434</v>
      </c>
      <c r="C32" s="237"/>
      <c r="D32" s="237">
        <f>'Beta - Regression'!J12</f>
        <v>0.67580018348223936</v>
      </c>
      <c r="E32" s="257" t="s">
        <v>438</v>
      </c>
      <c r="F32" s="257"/>
      <c r="G32" s="257"/>
      <c r="H32" s="257"/>
      <c r="I32" s="257"/>
      <c r="J32" s="257"/>
      <c r="K32" s="256"/>
      <c r="L32" s="256"/>
      <c r="M32" s="256"/>
      <c r="N32" s="256"/>
      <c r="O32" s="256"/>
      <c r="P32" s="256"/>
      <c r="Q32" s="256"/>
    </row>
    <row r="33" spans="2:17" x14ac:dyDescent="0.3">
      <c r="B33" t="s">
        <v>435</v>
      </c>
      <c r="C33" s="232"/>
      <c r="D33" s="232"/>
      <c r="E33" s="257"/>
      <c r="F33" s="257"/>
      <c r="G33" s="257"/>
      <c r="H33" s="257"/>
      <c r="I33" s="257"/>
      <c r="J33" s="257"/>
      <c r="K33" s="256"/>
      <c r="L33" s="256"/>
      <c r="M33" s="256"/>
      <c r="N33" s="256"/>
      <c r="O33" s="256"/>
      <c r="P33" s="256"/>
      <c r="Q33" s="256"/>
    </row>
    <row r="34" spans="2:17" x14ac:dyDescent="0.3">
      <c r="B34" t="s">
        <v>448</v>
      </c>
      <c r="D34" s="240">
        <v>0.25</v>
      </c>
      <c r="E34" t="s">
        <v>449</v>
      </c>
    </row>
    <row r="35" spans="2:17" s="215" customFormat="1" x14ac:dyDescent="0.3">
      <c r="B35" s="215" t="s">
        <v>408</v>
      </c>
    </row>
    <row r="37" spans="2:17" x14ac:dyDescent="0.3">
      <c r="B37" s="87" t="s">
        <v>409</v>
      </c>
      <c r="C37" s="87"/>
      <c r="D37" s="87"/>
      <c r="E37" s="87"/>
      <c r="F37" s="87"/>
      <c r="G37" s="87"/>
      <c r="H37" s="87"/>
      <c r="I37" s="87"/>
      <c r="J37" s="87"/>
    </row>
    <row r="38" spans="2:17" s="236" customFormat="1" ht="4.2" customHeight="1" x14ac:dyDescent="0.3">
      <c r="B38" s="74"/>
      <c r="C38" s="74"/>
      <c r="D38" s="74"/>
      <c r="E38" s="74"/>
    </row>
    <row r="39" spans="2:17" x14ac:dyDescent="0.3">
      <c r="B39" t="s">
        <v>439</v>
      </c>
      <c r="D39" s="4">
        <f>DCF!E15</f>
        <v>0.04</v>
      </c>
    </row>
    <row r="40" spans="2:17" ht="14.4" customHeight="1" x14ac:dyDescent="0.3">
      <c r="B40" t="s">
        <v>428</v>
      </c>
      <c r="C40" s="256" t="s">
        <v>455</v>
      </c>
      <c r="D40" s="256"/>
      <c r="E40" s="256"/>
      <c r="F40" s="256"/>
      <c r="G40" s="256"/>
      <c r="H40" s="256"/>
      <c r="I40" s="256"/>
      <c r="J40" s="256"/>
    </row>
    <row r="41" spans="2:17" x14ac:dyDescent="0.3">
      <c r="C41" s="256"/>
      <c r="D41" s="256"/>
      <c r="E41" s="256"/>
      <c r="F41" s="256"/>
      <c r="G41" s="256"/>
      <c r="H41" s="256"/>
      <c r="I41" s="256"/>
      <c r="J41" s="256"/>
    </row>
    <row r="42" spans="2:17" x14ac:dyDescent="0.3">
      <c r="C42" s="256"/>
      <c r="D42" s="256"/>
      <c r="E42" s="256"/>
      <c r="F42" s="256"/>
      <c r="G42" s="256"/>
      <c r="H42" s="256"/>
      <c r="I42" s="256"/>
      <c r="J42" s="256"/>
    </row>
    <row r="43" spans="2:17" x14ac:dyDescent="0.3">
      <c r="C43" s="256"/>
      <c r="D43" s="256"/>
      <c r="E43" s="256"/>
      <c r="F43" s="256"/>
      <c r="G43" s="256"/>
      <c r="H43" s="256"/>
      <c r="I43" s="256"/>
      <c r="J43" s="256"/>
    </row>
    <row r="44" spans="2:17" x14ac:dyDescent="0.3">
      <c r="C44" s="232"/>
      <c r="D44" s="232"/>
      <c r="E44" s="232"/>
      <c r="F44" s="232"/>
      <c r="G44" s="232"/>
      <c r="H44" s="232"/>
      <c r="I44" s="232"/>
      <c r="J44" s="232"/>
    </row>
    <row r="45" spans="2:17" x14ac:dyDescent="0.3">
      <c r="B45" s="87" t="s">
        <v>410</v>
      </c>
      <c r="C45" s="87"/>
      <c r="D45" s="87"/>
      <c r="E45" s="87"/>
      <c r="F45" s="87"/>
      <c r="G45" s="87"/>
      <c r="H45" s="87"/>
      <c r="I45" s="87"/>
      <c r="J45" s="87"/>
    </row>
    <row r="46" spans="2:17" s="236" customFormat="1" ht="4.2" customHeight="1" x14ac:dyDescent="0.3">
      <c r="B46" s="74"/>
      <c r="C46" s="74"/>
      <c r="D46" s="74"/>
      <c r="E46" s="74"/>
      <c r="F46" s="74"/>
      <c r="G46" s="74"/>
      <c r="H46" s="74"/>
      <c r="I46" s="74"/>
      <c r="J46" s="74"/>
    </row>
    <row r="47" spans="2:17" ht="14.4" customHeight="1" x14ac:dyDescent="0.3">
      <c r="B47" s="256" t="s">
        <v>440</v>
      </c>
      <c r="C47" s="256"/>
      <c r="D47" s="256"/>
      <c r="E47" s="256"/>
      <c r="F47" s="256"/>
      <c r="G47" s="256"/>
      <c r="H47" s="256"/>
      <c r="I47" s="256"/>
      <c r="J47" s="256"/>
    </row>
    <row r="48" spans="2:17" x14ac:dyDescent="0.3">
      <c r="B48" t="s">
        <v>441</v>
      </c>
    </row>
    <row r="49" spans="2:10" x14ac:dyDescent="0.3">
      <c r="B49" t="s">
        <v>442</v>
      </c>
    </row>
    <row r="50" spans="2:10" x14ac:dyDescent="0.3">
      <c r="B50" t="s">
        <v>411</v>
      </c>
    </row>
    <row r="52" spans="2:10" x14ac:dyDescent="0.3">
      <c r="B52" s="87" t="s">
        <v>412</v>
      </c>
      <c r="C52" s="87"/>
      <c r="D52" s="87"/>
      <c r="E52" s="87"/>
      <c r="F52" s="87"/>
      <c r="G52" s="87"/>
      <c r="H52" s="87"/>
      <c r="I52" s="87"/>
      <c r="J52" s="87"/>
    </row>
    <row r="53" spans="2:10" s="236" customFormat="1" ht="4.2" customHeight="1" x14ac:dyDescent="0.3">
      <c r="B53" s="74"/>
      <c r="C53" s="74"/>
      <c r="D53" s="74"/>
    </row>
    <row r="54" spans="2:10" x14ac:dyDescent="0.3">
      <c r="B54" t="s">
        <v>414</v>
      </c>
      <c r="D54" s="234">
        <f>DCF!E37</f>
        <v>638.10550988664943</v>
      </c>
      <c r="E54" t="s">
        <v>418</v>
      </c>
    </row>
    <row r="55" spans="2:10" x14ac:dyDescent="0.3">
      <c r="B55" t="s">
        <v>415</v>
      </c>
      <c r="D55" s="234">
        <f>DCF!E39</f>
        <v>2160</v>
      </c>
      <c r="E55" t="s">
        <v>418</v>
      </c>
    </row>
    <row r="56" spans="2:10" x14ac:dyDescent="0.3">
      <c r="B56" t="s">
        <v>416</v>
      </c>
      <c r="D56" s="29">
        <f>DCF!E40</f>
        <v>2.3850201362211934</v>
      </c>
    </row>
    <row r="57" spans="2:10" x14ac:dyDescent="0.3">
      <c r="B57" t="s">
        <v>417</v>
      </c>
      <c r="D57" s="9" t="s">
        <v>456</v>
      </c>
    </row>
    <row r="59" spans="2:10" ht="14.4" customHeight="1" x14ac:dyDescent="0.3">
      <c r="B59" s="253" t="s">
        <v>457</v>
      </c>
      <c r="C59" s="253"/>
      <c r="D59" s="253"/>
      <c r="E59" s="253"/>
      <c r="F59" s="253"/>
      <c r="G59" s="253"/>
      <c r="H59" s="253"/>
      <c r="I59" s="253"/>
      <c r="J59" s="253"/>
    </row>
    <row r="60" spans="2:10" x14ac:dyDescent="0.3">
      <c r="B60" s="254"/>
      <c r="C60" s="254"/>
      <c r="D60" s="254"/>
      <c r="E60" s="254"/>
      <c r="F60" s="254"/>
      <c r="G60" s="254"/>
      <c r="H60" s="254"/>
      <c r="I60" s="254"/>
      <c r="J60" s="254"/>
    </row>
    <row r="61" spans="2:10" x14ac:dyDescent="0.3">
      <c r="B61" s="255"/>
      <c r="C61" s="255"/>
      <c r="D61" s="255"/>
      <c r="E61" s="255"/>
      <c r="F61" s="255"/>
      <c r="G61" s="255"/>
      <c r="H61" s="255"/>
      <c r="I61" s="255"/>
      <c r="J61" s="255"/>
    </row>
    <row r="62" spans="2:10" x14ac:dyDescent="0.3">
      <c r="B62" s="217"/>
      <c r="C62" s="217"/>
      <c r="D62" s="217"/>
      <c r="E62" s="217"/>
      <c r="F62" s="217"/>
      <c r="G62" s="217"/>
      <c r="H62" s="217"/>
      <c r="I62" s="217"/>
      <c r="J62" s="217"/>
    </row>
    <row r="63" spans="2:10" x14ac:dyDescent="0.3">
      <c r="B63" s="235" t="s">
        <v>419</v>
      </c>
      <c r="C63" s="231" t="s">
        <v>450</v>
      </c>
      <c r="D63" s="231"/>
      <c r="E63" s="231"/>
      <c r="F63" s="231"/>
      <c r="G63" s="231"/>
      <c r="H63" s="231"/>
      <c r="I63" s="231"/>
    </row>
  </sheetData>
  <mergeCells count="9">
    <mergeCell ref="K32:Q33"/>
    <mergeCell ref="B7:J8"/>
    <mergeCell ref="B2:H2"/>
    <mergeCell ref="B59:J61"/>
    <mergeCell ref="B47:J47"/>
    <mergeCell ref="C12:J12"/>
    <mergeCell ref="C24:J26"/>
    <mergeCell ref="E32:J33"/>
    <mergeCell ref="C40:J43"/>
  </mergeCells>
  <pageMargins left="0.7" right="0.7" top="0.75" bottom="0.75" header="0.3" footer="0.3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4F8E-E3A0-4750-9CCE-732BF286CBFB}">
  <sheetPr>
    <tabColor rgb="FF002060"/>
  </sheetPr>
  <dimension ref="A1"/>
  <sheetViews>
    <sheetView showGridLines="0" workbookViewId="0"/>
  </sheetViews>
  <sheetFormatPr defaultRowHeight="14.4" x14ac:dyDescent="0.3"/>
  <cols>
    <col min="1" max="1" width="1.88671875" customWidth="1"/>
  </cols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FEA7-B8A4-41B3-8FF3-F8E9A83F1F36}">
  <sheetPr>
    <pageSetUpPr fitToPage="1"/>
  </sheetPr>
  <dimension ref="B2:L42"/>
  <sheetViews>
    <sheetView showGridLines="0" topLeftCell="A21" workbookViewId="0">
      <selection activeCell="O43" sqref="O43"/>
    </sheetView>
  </sheetViews>
  <sheetFormatPr defaultRowHeight="14.4" x14ac:dyDescent="0.3"/>
  <cols>
    <col min="1" max="1" width="1.88671875" customWidth="1"/>
    <col min="5" max="5" width="12.109375" bestFit="1" customWidth="1"/>
    <col min="6" max="6" width="11.21875" customWidth="1"/>
    <col min="7" max="7" width="12.5546875" customWidth="1"/>
    <col min="8" max="12" width="10.33203125" bestFit="1" customWidth="1"/>
  </cols>
  <sheetData>
    <row r="2" spans="2:12" x14ac:dyDescent="0.3">
      <c r="B2" s="84" t="s">
        <v>282</v>
      </c>
      <c r="C2" s="84"/>
      <c r="D2" s="84"/>
      <c r="E2" s="84"/>
      <c r="F2" s="84"/>
      <c r="G2" s="142">
        <f>'Intrinsic Growth'!K2</f>
        <v>46090</v>
      </c>
      <c r="H2" s="143">
        <f>G2+365</f>
        <v>46455</v>
      </c>
      <c r="I2" s="143">
        <f>H2+366</f>
        <v>46821</v>
      </c>
      <c r="J2" s="143">
        <f t="shared" ref="J2:L2" si="0">I2+365</f>
        <v>47186</v>
      </c>
      <c r="K2" s="143">
        <f t="shared" si="0"/>
        <v>47551</v>
      </c>
      <c r="L2" s="143">
        <f t="shared" si="0"/>
        <v>47916</v>
      </c>
    </row>
    <row r="4" spans="2:12" x14ac:dyDescent="0.3">
      <c r="B4" t="s">
        <v>231</v>
      </c>
      <c r="G4" s="243">
        <f>HistoricalFS!K24</f>
        <v>13706</v>
      </c>
      <c r="H4" s="243">
        <f>IFERROR(G4*(1+$E$14),0)</f>
        <v>13901.730298644032</v>
      </c>
      <c r="I4" s="243">
        <f t="shared" ref="I4:L4" si="1">IFERROR(H4*(1+$E$14),0)</f>
        <v>14100.255749032358</v>
      </c>
      <c r="J4" s="243">
        <f t="shared" si="1"/>
        <v>14301.61626768954</v>
      </c>
      <c r="K4" s="243">
        <f t="shared" si="1"/>
        <v>14505.852341173213</v>
      </c>
      <c r="L4" s="243">
        <f t="shared" si="1"/>
        <v>14713.005034214513</v>
      </c>
    </row>
    <row r="5" spans="2:12" x14ac:dyDescent="0.3">
      <c r="B5" t="s">
        <v>140</v>
      </c>
      <c r="G5" s="144">
        <v>0.25</v>
      </c>
      <c r="H5" s="4">
        <f>G5</f>
        <v>0.25</v>
      </c>
      <c r="I5" s="4">
        <f t="shared" ref="I5:L5" si="2">H5</f>
        <v>0.25</v>
      </c>
      <c r="J5" s="4">
        <f t="shared" si="2"/>
        <v>0.25</v>
      </c>
      <c r="K5" s="4">
        <f t="shared" si="2"/>
        <v>0.25</v>
      </c>
      <c r="L5" s="4">
        <f t="shared" si="2"/>
        <v>0.25</v>
      </c>
    </row>
    <row r="6" spans="2:12" x14ac:dyDescent="0.3">
      <c r="B6" t="s">
        <v>283</v>
      </c>
      <c r="G6" s="243">
        <f t="shared" ref="G6" si="3">G4*(1-G5)</f>
        <v>10279.5</v>
      </c>
      <c r="H6" s="243">
        <f t="shared" ref="H6" si="4">H4*(1-H5)</f>
        <v>10426.297723983023</v>
      </c>
      <c r="I6" s="243">
        <f t="shared" ref="I6" si="5">I4*(1-I5)</f>
        <v>10575.191811774268</v>
      </c>
      <c r="J6" s="243">
        <f t="shared" ref="J6" si="6">J4*(1-J5)</f>
        <v>10726.212200767155</v>
      </c>
      <c r="K6" s="243">
        <f t="shared" ref="K6" si="7">K4*(1-K5)</f>
        <v>10879.389255879909</v>
      </c>
      <c r="L6" s="243">
        <f t="shared" ref="L6" si="8">L4*(1-L5)</f>
        <v>11034.753775660885</v>
      </c>
    </row>
    <row r="7" spans="2:12" x14ac:dyDescent="0.3">
      <c r="B7" t="s">
        <v>284</v>
      </c>
      <c r="G7" s="4">
        <f>'Intrinsic Growth'!$K$54</f>
        <v>0.13171846879712049</v>
      </c>
      <c r="H7" s="4">
        <f>G7-(($G$7-$L$7)/5)</f>
        <v>0.1171284986993596</v>
      </c>
      <c r="I7" s="4">
        <f>H7-(($G$7-$L$7)/5)</f>
        <v>0.10253852860159871</v>
      </c>
      <c r="J7" s="4">
        <f>I7-(($G$7-$L$7)/5)</f>
        <v>8.7948558503837815E-2</v>
      </c>
      <c r="K7" s="4">
        <f>J7-(($G$7-$L$7)/5)</f>
        <v>7.3358588406076924E-2</v>
      </c>
      <c r="L7" s="4">
        <f>'Intrinsic Growth'!K57</f>
        <v>5.8768618308316041E-2</v>
      </c>
    </row>
    <row r="8" spans="2:12" x14ac:dyDescent="0.3">
      <c r="B8" t="s">
        <v>285</v>
      </c>
      <c r="G8" s="243">
        <f t="shared" ref="G8:L8" si="9">G6*(1-G7)</f>
        <v>8925.5</v>
      </c>
      <c r="H8" s="243">
        <f t="shared" si="9"/>
        <v>9205.0811245803416</v>
      </c>
      <c r="I8" s="243">
        <f t="shared" si="9"/>
        <v>9490.8272037152601</v>
      </c>
      <c r="J8" s="243">
        <f t="shared" si="9"/>
        <v>9782.8572995034065</v>
      </c>
      <c r="K8" s="243">
        <f t="shared" si="9"/>
        <v>10081.292617348319</v>
      </c>
      <c r="L8" s="243">
        <f t="shared" si="9"/>
        <v>10386.256542892821</v>
      </c>
    </row>
    <row r="9" spans="2:12" x14ac:dyDescent="0.3">
      <c r="B9" t="s">
        <v>286</v>
      </c>
      <c r="G9" s="145" t="s">
        <v>59</v>
      </c>
      <c r="H9" s="34">
        <v>0.5</v>
      </c>
      <c r="I9">
        <f>H9+1</f>
        <v>1.5</v>
      </c>
      <c r="J9">
        <f t="shared" ref="J9:L9" si="10">I9+1</f>
        <v>2.5</v>
      </c>
      <c r="K9">
        <f t="shared" si="10"/>
        <v>3.5</v>
      </c>
      <c r="L9">
        <f t="shared" si="10"/>
        <v>4.5</v>
      </c>
    </row>
    <row r="10" spans="2:12" x14ac:dyDescent="0.3">
      <c r="B10" t="s">
        <v>287</v>
      </c>
      <c r="G10" s="145" t="s">
        <v>59</v>
      </c>
      <c r="H10" s="83">
        <f>1/(1+$E$16)^H9</f>
        <v>0.95205372166332525</v>
      </c>
      <c r="I10" s="83">
        <f t="shared" ref="I10:L10" si="11">1/(1+$E$16)^I9</f>
        <v>0.86294748071769523</v>
      </c>
      <c r="J10" s="83">
        <f t="shared" si="11"/>
        <v>0.78218102354139785</v>
      </c>
      <c r="K10" s="83">
        <f t="shared" si="11"/>
        <v>0.7089737988219651</v>
      </c>
      <c r="L10" s="83">
        <f t="shared" si="11"/>
        <v>0.6426183099409406</v>
      </c>
    </row>
    <row r="12" spans="2:12" ht="15" thickBot="1" x14ac:dyDescent="0.35">
      <c r="B12" s="146" t="s">
        <v>288</v>
      </c>
      <c r="C12" s="146"/>
      <c r="D12" s="146"/>
      <c r="E12" s="146"/>
      <c r="F12" s="146"/>
      <c r="G12" s="147" t="s">
        <v>59</v>
      </c>
      <c r="H12" s="247">
        <f>H8*H10</f>
        <v>8763.7317428695424</v>
      </c>
      <c r="I12" s="247">
        <f t="shared" ref="I12:L12" si="12">I8*I10</f>
        <v>8190.0854253730513</v>
      </c>
      <c r="J12" s="247">
        <f t="shared" si="12"/>
        <v>7651.9653356850094</v>
      </c>
      <c r="K12" s="247">
        <f t="shared" si="12"/>
        <v>7147.3723239572691</v>
      </c>
      <c r="L12" s="247">
        <f t="shared" si="12"/>
        <v>6674.3986262068211</v>
      </c>
    </row>
    <row r="14" spans="2:12" x14ac:dyDescent="0.3">
      <c r="B14" s="148" t="s">
        <v>289</v>
      </c>
      <c r="C14" s="148"/>
      <c r="D14" s="148"/>
      <c r="E14" s="150">
        <f>'Intrinsic Growth'!K67</f>
        <v>1.4280628822707801E-2</v>
      </c>
      <c r="F14" s="241"/>
      <c r="G14" s="241"/>
      <c r="H14" s="241"/>
      <c r="I14" s="241"/>
      <c r="J14" s="241"/>
      <c r="K14" s="241"/>
      <c r="L14" s="241"/>
    </row>
    <row r="15" spans="2:12" x14ac:dyDescent="0.3">
      <c r="B15" s="148" t="s">
        <v>293</v>
      </c>
      <c r="C15" s="148"/>
      <c r="D15" s="148"/>
      <c r="E15" s="149">
        <v>0.04</v>
      </c>
    </row>
    <row r="16" spans="2:12" x14ac:dyDescent="0.3">
      <c r="B16" s="148" t="s">
        <v>160</v>
      </c>
      <c r="C16" s="148"/>
      <c r="D16" s="148"/>
      <c r="E16" s="150">
        <f>WACC!J43</f>
        <v>0.10325801156696394</v>
      </c>
    </row>
    <row r="18" spans="2:12" x14ac:dyDescent="0.3">
      <c r="B18" s="84" t="s">
        <v>291</v>
      </c>
      <c r="C18" s="84"/>
      <c r="D18" s="84"/>
      <c r="E18" s="84"/>
      <c r="G18" s="259" t="s">
        <v>400</v>
      </c>
      <c r="H18" s="259"/>
      <c r="I18" s="259"/>
      <c r="J18" s="259"/>
      <c r="K18" s="259"/>
      <c r="L18" s="259"/>
    </row>
    <row r="19" spans="2:12" x14ac:dyDescent="0.3">
      <c r="G19" s="248">
        <f>E30</f>
        <v>148158.70685759478</v>
      </c>
      <c r="H19" s="189">
        <v>9.5000000000000001E-2</v>
      </c>
      <c r="I19" s="189">
        <v>0.1</v>
      </c>
      <c r="J19" s="189">
        <v>0.1033</v>
      </c>
      <c r="K19" s="189">
        <v>0.1075</v>
      </c>
      <c r="L19" s="189">
        <v>0.1125</v>
      </c>
    </row>
    <row r="20" spans="2:12" x14ac:dyDescent="0.3">
      <c r="B20" s="151" t="s">
        <v>292</v>
      </c>
      <c r="C20" s="151"/>
      <c r="D20" s="151"/>
      <c r="E20" s="242">
        <f>L8*(1+E15)</f>
        <v>10801.706804608535</v>
      </c>
      <c r="G20" s="191">
        <v>0.04</v>
      </c>
      <c r="H20" s="190">
        <f t="dataTable" ref="H20:L24" dt2D="1" dtr="1" r1="E21" r2="E22"/>
        <v>164634.36384054794</v>
      </c>
      <c r="I20" s="190">
        <v>154117.12964167658</v>
      </c>
      <c r="J20" s="190">
        <v>148085.91950867456</v>
      </c>
      <c r="K20" s="190">
        <v>141262.73228750049</v>
      </c>
      <c r="L20" s="190">
        <v>134170.65098864472</v>
      </c>
    </row>
    <row r="21" spans="2:12" x14ac:dyDescent="0.3">
      <c r="B21" s="151" t="s">
        <v>160</v>
      </c>
      <c r="C21" s="151"/>
      <c r="D21" s="151"/>
      <c r="E21" s="152">
        <f>E16</f>
        <v>0.10325801156696394</v>
      </c>
      <c r="G21" s="191">
        <v>4.4999999999999998E-2</v>
      </c>
      <c r="H21" s="190">
        <v>177255.04487919356</v>
      </c>
      <c r="I21" s="190">
        <v>164634.36384054794</v>
      </c>
      <c r="J21" s="190">
        <v>157490.58212055985</v>
      </c>
      <c r="K21" s="190">
        <v>149489.54659417321</v>
      </c>
      <c r="L21" s="190">
        <v>141262.73228750049</v>
      </c>
    </row>
    <row r="22" spans="2:12" x14ac:dyDescent="0.3">
      <c r="B22" s="151" t="s">
        <v>293</v>
      </c>
      <c r="C22" s="151"/>
      <c r="D22" s="151"/>
      <c r="E22" s="152">
        <f>E15</f>
        <v>0.04</v>
      </c>
      <c r="G22" s="191">
        <v>0.05</v>
      </c>
      <c r="H22" s="190">
        <v>192680.32170420489</v>
      </c>
      <c r="I22" s="190">
        <v>177255.04487919356</v>
      </c>
      <c r="J22" s="192">
        <v>168659.72177032236</v>
      </c>
      <c r="K22" s="190">
        <v>159147.11121504987</v>
      </c>
      <c r="L22" s="190">
        <v>149489.54659417321</v>
      </c>
    </row>
    <row r="23" spans="2:12" x14ac:dyDescent="0.3">
      <c r="G23" s="191">
        <v>5.5E-2</v>
      </c>
      <c r="H23" s="190">
        <v>211961.91773546906</v>
      </c>
      <c r="I23" s="190">
        <v>192680.32170420489</v>
      </c>
      <c r="J23" s="190">
        <v>182141.31269332758</v>
      </c>
      <c r="K23" s="190">
        <v>170644.21195418874</v>
      </c>
      <c r="L23" s="190">
        <v>159147.11121504987</v>
      </c>
    </row>
    <row r="24" spans="2:12" ht="15" thickBot="1" x14ac:dyDescent="0.35">
      <c r="B24" s="146" t="s">
        <v>290</v>
      </c>
      <c r="C24" s="146"/>
      <c r="D24" s="146"/>
      <c r="E24" s="247">
        <f>E20/(E21-E22)</f>
        <v>170756.34432761162</v>
      </c>
      <c r="G24" s="191">
        <v>0.06</v>
      </c>
      <c r="H24" s="190">
        <v>236752.5412042372</v>
      </c>
      <c r="I24" s="190">
        <v>211961.917735469</v>
      </c>
      <c r="J24" s="190">
        <v>198736.43500732712</v>
      </c>
      <c r="K24" s="190">
        <v>184561.75495419896</v>
      </c>
      <c r="L24" s="190">
        <v>170644.21195418871</v>
      </c>
    </row>
    <row r="26" spans="2:12" ht="14.4" customHeight="1" x14ac:dyDescent="0.3">
      <c r="B26" s="84" t="s">
        <v>294</v>
      </c>
      <c r="C26" s="84"/>
      <c r="D26" s="84"/>
      <c r="E26" s="84"/>
      <c r="H26" s="260" t="s">
        <v>454</v>
      </c>
      <c r="I26" s="253"/>
      <c r="J26" s="253"/>
      <c r="K26" s="253"/>
      <c r="L26" s="261"/>
    </row>
    <row r="27" spans="2:12" x14ac:dyDescent="0.3">
      <c r="H27" s="262"/>
      <c r="I27" s="255"/>
      <c r="J27" s="255"/>
      <c r="K27" s="255"/>
      <c r="L27" s="263"/>
    </row>
    <row r="28" spans="2:12" x14ac:dyDescent="0.3">
      <c r="B28" s="151" t="s">
        <v>288</v>
      </c>
      <c r="C28" s="151"/>
      <c r="D28" s="151"/>
      <c r="E28" s="242">
        <f>SUM(H12:L12)</f>
        <v>38427.553454091692</v>
      </c>
      <c r="H28" s="217"/>
      <c r="I28" s="217"/>
      <c r="J28" s="217"/>
      <c r="K28" s="217"/>
      <c r="L28" s="217"/>
    </row>
    <row r="29" spans="2:12" x14ac:dyDescent="0.3">
      <c r="B29" s="151" t="s">
        <v>295</v>
      </c>
      <c r="C29" s="151"/>
      <c r="D29" s="151"/>
      <c r="E29" s="242">
        <f>E24*L10</f>
        <v>109731.15340350309</v>
      </c>
    </row>
    <row r="30" spans="2:12" x14ac:dyDescent="0.3">
      <c r="B30" s="151" t="s">
        <v>296</v>
      </c>
      <c r="C30" s="151"/>
      <c r="D30" s="151"/>
      <c r="E30" s="242">
        <f>SUM(E28:E29)</f>
        <v>148158.70685759478</v>
      </c>
    </row>
    <row r="31" spans="2:12" x14ac:dyDescent="0.3">
      <c r="E31" s="243"/>
    </row>
    <row r="32" spans="2:12" x14ac:dyDescent="0.3">
      <c r="B32" s="151" t="s">
        <v>297</v>
      </c>
      <c r="C32" s="151"/>
      <c r="D32" s="151"/>
      <c r="E32" s="242">
        <f>'Data Sheet'!K69</f>
        <v>3248</v>
      </c>
    </row>
    <row r="33" spans="2:8" x14ac:dyDescent="0.3">
      <c r="B33" s="151" t="s">
        <v>298</v>
      </c>
      <c r="C33" s="151"/>
      <c r="D33" s="151"/>
      <c r="E33" s="244">
        <f>SUM('Raw FS'!N7:N9)</f>
        <v>1478</v>
      </c>
    </row>
    <row r="34" spans="2:8" x14ac:dyDescent="0.3">
      <c r="B34" s="151" t="s">
        <v>299</v>
      </c>
      <c r="C34" s="151"/>
      <c r="D34" s="151"/>
      <c r="E34" s="242">
        <f>E30+E32-E33</f>
        <v>149928.70685759478</v>
      </c>
    </row>
    <row r="35" spans="2:8" x14ac:dyDescent="0.3">
      <c r="B35" s="151" t="s">
        <v>300</v>
      </c>
      <c r="C35" s="151"/>
      <c r="D35" s="151"/>
      <c r="E35" s="250">
        <f>'Data Sheet'!B6</f>
        <v>234.95911653266799</v>
      </c>
    </row>
    <row r="36" spans="2:8" x14ac:dyDescent="0.3">
      <c r="B36" s="45"/>
      <c r="C36" s="45"/>
      <c r="D36" s="45"/>
      <c r="E36" s="243"/>
    </row>
    <row r="37" spans="2:8" ht="15" thickBot="1" x14ac:dyDescent="0.35">
      <c r="B37" s="153" t="s">
        <v>301</v>
      </c>
      <c r="C37" s="153"/>
      <c r="D37" s="153"/>
      <c r="E37" s="245">
        <f>E34/E35</f>
        <v>638.10550988664943</v>
      </c>
    </row>
    <row r="38" spans="2:8" x14ac:dyDescent="0.3">
      <c r="E38" s="243"/>
    </row>
    <row r="39" spans="2:8" x14ac:dyDescent="0.3">
      <c r="B39" s="151" t="s">
        <v>302</v>
      </c>
      <c r="C39" s="151"/>
      <c r="D39" s="151"/>
      <c r="E39" s="246">
        <v>2160</v>
      </c>
    </row>
    <row r="40" spans="2:8" x14ac:dyDescent="0.3">
      <c r="B40" s="151" t="s">
        <v>399</v>
      </c>
      <c r="C40" s="151"/>
      <c r="D40" s="151"/>
      <c r="E40" s="218">
        <f>E39/E37-1</f>
        <v>2.3850201362211934</v>
      </c>
      <c r="F40" s="220" t="s">
        <v>453</v>
      </c>
      <c r="G40" s="219"/>
      <c r="H40" s="221"/>
    </row>
    <row r="41" spans="2:8" ht="14.4" customHeight="1" x14ac:dyDescent="0.3">
      <c r="F41" s="264" t="s">
        <v>402</v>
      </c>
      <c r="G41" s="265"/>
      <c r="H41" s="222"/>
    </row>
    <row r="42" spans="2:8" x14ac:dyDescent="0.3">
      <c r="F42" s="266"/>
      <c r="G42" s="267"/>
      <c r="H42" s="223"/>
    </row>
  </sheetData>
  <mergeCells count="3">
    <mergeCell ref="G18:L18"/>
    <mergeCell ref="H26:L27"/>
    <mergeCell ref="F41:G42"/>
  </mergeCells>
  <pageMargins left="0.7" right="0.7" top="0.75" bottom="0.75" header="0.3" footer="0.3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BF1E-B2DC-4E8B-B972-948A41CCAB29}">
  <sheetPr>
    <pageSetUpPr fitToPage="1"/>
  </sheetPr>
  <dimension ref="B2:J43"/>
  <sheetViews>
    <sheetView showGridLines="0" zoomScaleNormal="100" workbookViewId="0">
      <selection activeCell="N35" sqref="N35"/>
    </sheetView>
  </sheetViews>
  <sheetFormatPr defaultRowHeight="14.4" x14ac:dyDescent="0.3"/>
  <cols>
    <col min="1" max="1" width="1.88671875" customWidth="1"/>
    <col min="2" max="2" width="47.33203125" customWidth="1"/>
    <col min="3" max="3" width="9.44140625" bestFit="1" customWidth="1"/>
    <col min="5" max="5" width="10.6640625" bestFit="1" customWidth="1"/>
  </cols>
  <sheetData>
    <row r="2" spans="2:10" ht="18" x14ac:dyDescent="0.35">
      <c r="B2" s="268" t="str">
        <f>"Weighted Average Cost of Capital - " &amp;'Data Sheet'!B1</f>
        <v>Weighted Average Cost of Capital - HINDUSTAN UNILEVER LTD</v>
      </c>
      <c r="C2" s="268"/>
      <c r="D2" s="268"/>
      <c r="E2" s="268"/>
      <c r="F2" s="268"/>
      <c r="G2" s="268"/>
      <c r="H2" s="268"/>
      <c r="I2" s="268"/>
      <c r="J2" s="268"/>
    </row>
    <row r="4" spans="2:10" x14ac:dyDescent="0.3">
      <c r="B4" s="30" t="s">
        <v>119</v>
      </c>
    </row>
    <row r="6" spans="2:10" x14ac:dyDescent="0.3">
      <c r="B6" s="31" t="s">
        <v>120</v>
      </c>
    </row>
    <row r="7" spans="2:10" x14ac:dyDescent="0.3">
      <c r="B7" s="32"/>
      <c r="C7" s="32"/>
      <c r="D7" s="32"/>
      <c r="E7" s="32"/>
      <c r="F7" s="32"/>
      <c r="G7" s="32" t="s">
        <v>121</v>
      </c>
      <c r="H7" s="32" t="s">
        <v>121</v>
      </c>
      <c r="I7" s="32" t="s">
        <v>122</v>
      </c>
      <c r="J7" s="32" t="s">
        <v>123</v>
      </c>
    </row>
    <row r="8" spans="2:10" ht="16.2" x14ac:dyDescent="0.3">
      <c r="B8" s="33" t="s">
        <v>124</v>
      </c>
      <c r="C8" s="33" t="s">
        <v>125</v>
      </c>
      <c r="D8" s="33" t="s">
        <v>126</v>
      </c>
      <c r="E8" s="33" t="s">
        <v>127</v>
      </c>
      <c r="F8" s="33" t="s">
        <v>128</v>
      </c>
      <c r="G8" s="33" t="s">
        <v>129</v>
      </c>
      <c r="H8" s="33" t="s">
        <v>130</v>
      </c>
      <c r="I8" s="33" t="s">
        <v>131</v>
      </c>
      <c r="J8" s="33" t="s">
        <v>132</v>
      </c>
    </row>
    <row r="10" spans="2:10" x14ac:dyDescent="0.3">
      <c r="B10" s="34" t="s">
        <v>208</v>
      </c>
      <c r="C10" s="34" t="s">
        <v>133</v>
      </c>
      <c r="D10" s="35">
        <f>'Beta - Comps'!F3</f>
        <v>1478</v>
      </c>
      <c r="E10" s="35">
        <f>'Beta - Comps'!E3</f>
        <v>508569</v>
      </c>
      <c r="F10" s="36">
        <v>0.25</v>
      </c>
      <c r="G10" s="16">
        <f>D10/E10</f>
        <v>2.9061936531719393E-3</v>
      </c>
      <c r="H10" s="16">
        <f>D10/(D10+E10)</f>
        <v>2.8977721660944974E-3</v>
      </c>
      <c r="I10" s="27">
        <f>'Beta - Regression'!J12</f>
        <v>0.67580018348223936</v>
      </c>
      <c r="J10" s="27">
        <f>I10/(1+(1-F10)*G10)</f>
        <v>0.67433038247397414</v>
      </c>
    </row>
    <row r="11" spans="2:10" x14ac:dyDescent="0.3">
      <c r="B11" s="34" t="s">
        <v>209</v>
      </c>
      <c r="C11" s="34" t="s">
        <v>133</v>
      </c>
      <c r="D11" s="35">
        <f>'Beta - Comps'!F4</f>
        <v>2399.06</v>
      </c>
      <c r="E11" s="35">
        <f>'Beta - Comps'!E4</f>
        <v>363605.09</v>
      </c>
      <c r="F11" s="36">
        <v>0.25</v>
      </c>
      <c r="G11" s="16">
        <f t="shared" ref="G11:G13" si="0">D11/E11</f>
        <v>6.5979824429850519E-3</v>
      </c>
      <c r="H11" s="16">
        <f t="shared" ref="H11:H13" si="1">D11/(D11+E11)</f>
        <v>6.5547344203610797E-3</v>
      </c>
      <c r="I11" s="27">
        <f>'Beta - Regression'!X12</f>
        <v>0.69249061264874345</v>
      </c>
      <c r="J11" s="27">
        <f t="shared" ref="J11:J13" si="2">I11/(1+(1-F11)*G11)</f>
        <v>0.68908070584949743</v>
      </c>
    </row>
    <row r="12" spans="2:10" x14ac:dyDescent="0.3">
      <c r="B12" s="34" t="s">
        <v>210</v>
      </c>
      <c r="C12" s="34" t="s">
        <v>133</v>
      </c>
      <c r="D12" s="35">
        <f>'Beta - Comps'!F5</f>
        <v>2508.1799999999998</v>
      </c>
      <c r="E12" s="35">
        <f>'Beta - Comps'!E5</f>
        <v>170619.9</v>
      </c>
      <c r="F12" s="36">
        <v>0.25</v>
      </c>
      <c r="G12" s="16">
        <f t="shared" si="0"/>
        <v>1.4700395440391185E-2</v>
      </c>
      <c r="H12" s="16">
        <f t="shared" si="1"/>
        <v>1.448742457029501E-2</v>
      </c>
      <c r="I12" s="27">
        <f>'Beta - Regression'!AL12</f>
        <v>1.1299093658352324</v>
      </c>
      <c r="J12" s="27">
        <f t="shared" si="2"/>
        <v>1.117587630751727</v>
      </c>
    </row>
    <row r="13" spans="2:10" x14ac:dyDescent="0.3">
      <c r="B13" s="34" t="s">
        <v>211</v>
      </c>
      <c r="C13" s="34" t="s">
        <v>133</v>
      </c>
      <c r="D13" s="35">
        <f>'Beta - Comps'!F6</f>
        <v>1380.28</v>
      </c>
      <c r="E13" s="35">
        <f>'Beta - Comps'!E6</f>
        <v>126307.76</v>
      </c>
      <c r="F13" s="36">
        <v>0.25</v>
      </c>
      <c r="G13" s="16">
        <f t="shared" si="0"/>
        <v>1.0927911317562754E-2</v>
      </c>
      <c r="H13" s="16">
        <f t="shared" si="1"/>
        <v>1.0809782967927145E-2</v>
      </c>
      <c r="I13" s="27">
        <f>'Beta - Regression'!AZ12</f>
        <v>0.64522993861964606</v>
      </c>
      <c r="J13" s="27">
        <f t="shared" si="2"/>
        <v>0.63998466685663913</v>
      </c>
    </row>
    <row r="14" spans="2:10" x14ac:dyDescent="0.3">
      <c r="B14" s="34"/>
      <c r="C14" s="34"/>
      <c r="D14" s="34"/>
      <c r="E14" s="37"/>
      <c r="F14" s="37"/>
      <c r="G14" s="36"/>
      <c r="H14" s="16"/>
      <c r="I14" s="16"/>
      <c r="J14" s="38"/>
    </row>
    <row r="16" spans="2:10" x14ac:dyDescent="0.3">
      <c r="E16" s="39" t="s">
        <v>134</v>
      </c>
      <c r="F16" s="40">
        <f>AVERAGE(F10:F13)</f>
        <v>0.25</v>
      </c>
      <c r="G16" s="40">
        <f>AVERAGE(G10:G13)</f>
        <v>8.7831207135277319E-3</v>
      </c>
      <c r="H16" s="40">
        <f>AVERAGE(H10:H13)</f>
        <v>8.6874285311694336E-3</v>
      </c>
      <c r="I16" s="41">
        <f>AVERAGE(I10:I13)</f>
        <v>0.78585752514646534</v>
      </c>
      <c r="J16" s="41">
        <f>AVERAGE(J10:J13)</f>
        <v>0.78024584648295936</v>
      </c>
    </row>
    <row r="17" spans="2:10" x14ac:dyDescent="0.3">
      <c r="E17" s="42" t="s">
        <v>135</v>
      </c>
      <c r="F17" s="43">
        <f>MEDIAN(F10:F13)</f>
        <v>0.25</v>
      </c>
      <c r="G17" s="43">
        <f>MEDIAN(G10:G13)</f>
        <v>8.762946880273903E-3</v>
      </c>
      <c r="H17" s="43">
        <f>MEDIAN(H10:H13)</f>
        <v>8.682258694144112E-3</v>
      </c>
      <c r="I17" s="44">
        <f>MEDIAN(I10:I13)</f>
        <v>0.68414539806549146</v>
      </c>
      <c r="J17" s="44">
        <f>MEDIAN(J10:J13)</f>
        <v>0.68170554416173579</v>
      </c>
    </row>
    <row r="20" spans="2:10" x14ac:dyDescent="0.3">
      <c r="B20" s="42" t="s">
        <v>136</v>
      </c>
      <c r="C20" s="42"/>
      <c r="D20" s="42"/>
      <c r="E20" s="42"/>
      <c r="G20" s="42" t="s">
        <v>137</v>
      </c>
      <c r="H20" s="42"/>
      <c r="I20" s="42"/>
      <c r="J20" s="33"/>
    </row>
    <row r="22" spans="2:10" x14ac:dyDescent="0.3">
      <c r="B22" t="s">
        <v>138</v>
      </c>
      <c r="E22" s="36">
        <v>7.4999999999999997E-2</v>
      </c>
      <c r="G22" t="s">
        <v>139</v>
      </c>
      <c r="I22" s="4"/>
      <c r="J22" s="36">
        <v>6.8400000000000002E-2</v>
      </c>
    </row>
    <row r="23" spans="2:10" x14ac:dyDescent="0.3">
      <c r="B23" t="s">
        <v>140</v>
      </c>
      <c r="E23" s="4">
        <f>F17</f>
        <v>0.25</v>
      </c>
      <c r="G23" t="s">
        <v>141</v>
      </c>
      <c r="J23" s="4">
        <f>Rm!G11-WACC!J22</f>
        <v>5.1400000000000001E-2</v>
      </c>
    </row>
    <row r="24" spans="2:10" ht="16.2" x14ac:dyDescent="0.3">
      <c r="B24" s="45" t="s">
        <v>142</v>
      </c>
      <c r="C24" s="45"/>
      <c r="D24" s="45"/>
      <c r="E24" s="46">
        <f>E22*(1-E23)</f>
        <v>5.6249999999999994E-2</v>
      </c>
      <c r="G24" t="s">
        <v>143</v>
      </c>
      <c r="J24" s="27">
        <f>J33</f>
        <v>0.68618617042785279</v>
      </c>
    </row>
    <row r="25" spans="2:10" x14ac:dyDescent="0.3">
      <c r="G25" s="45" t="s">
        <v>137</v>
      </c>
      <c r="H25" s="45"/>
      <c r="I25" s="45"/>
      <c r="J25" s="46">
        <f>J22+(J23*J24)</f>
        <v>0.10366996915999163</v>
      </c>
    </row>
    <row r="28" spans="2:10" x14ac:dyDescent="0.3">
      <c r="B28" s="42" t="s">
        <v>144</v>
      </c>
      <c r="C28" s="42"/>
      <c r="D28" s="42"/>
      <c r="E28" s="42"/>
      <c r="G28" s="42" t="s">
        <v>145</v>
      </c>
      <c r="H28" s="42"/>
      <c r="I28" s="42"/>
      <c r="J28" s="33"/>
    </row>
    <row r="30" spans="2:10" x14ac:dyDescent="0.3">
      <c r="D30" s="47" t="s">
        <v>146</v>
      </c>
      <c r="E30" s="48" t="s">
        <v>147</v>
      </c>
      <c r="G30" t="s">
        <v>148</v>
      </c>
      <c r="J30" s="27">
        <f>J17</f>
        <v>0.68170554416173579</v>
      </c>
    </row>
    <row r="31" spans="2:10" x14ac:dyDescent="0.3">
      <c r="B31" t="s">
        <v>149</v>
      </c>
      <c r="C31" s="35">
        <f>D10</f>
        <v>1478</v>
      </c>
      <c r="D31" s="49">
        <f>C31/$C$33</f>
        <v>2.8977721660944974E-3</v>
      </c>
      <c r="E31" s="4">
        <f>H16</f>
        <v>8.6874285311694336E-3</v>
      </c>
      <c r="G31" t="s">
        <v>150</v>
      </c>
      <c r="J31" s="4">
        <f>E35</f>
        <v>8.7635613440241629E-3</v>
      </c>
    </row>
    <row r="32" spans="2:10" x14ac:dyDescent="0.3">
      <c r="B32" t="s">
        <v>44</v>
      </c>
      <c r="C32" s="35">
        <f>E10</f>
        <v>508569</v>
      </c>
      <c r="D32" s="50">
        <f>C32/$C$33</f>
        <v>0.99710222783390545</v>
      </c>
      <c r="E32" s="4">
        <f>E33-E31</f>
        <v>0.99131257146883056</v>
      </c>
      <c r="G32" t="s">
        <v>140</v>
      </c>
      <c r="J32" s="29">
        <f>E23</f>
        <v>0.25</v>
      </c>
    </row>
    <row r="33" spans="2:10" x14ac:dyDescent="0.3">
      <c r="B33" s="45" t="s">
        <v>151</v>
      </c>
      <c r="C33" s="51">
        <f>SUM(C32,C31)</f>
        <v>510047</v>
      </c>
      <c r="D33" s="52">
        <f>C33/$C$33</f>
        <v>1</v>
      </c>
      <c r="E33" s="46">
        <f>D33</f>
        <v>1</v>
      </c>
      <c r="G33" s="45" t="s">
        <v>145</v>
      </c>
      <c r="H33" s="45"/>
      <c r="I33" s="45"/>
      <c r="J33" s="53">
        <f>J30*(1+(1-J32)*J31)</f>
        <v>0.68618617042785279</v>
      </c>
    </row>
    <row r="35" spans="2:10" x14ac:dyDescent="0.3">
      <c r="B35" t="s">
        <v>152</v>
      </c>
      <c r="D35" s="4">
        <f>D31/D32</f>
        <v>2.9061936531719398E-3</v>
      </c>
      <c r="E35" s="4">
        <f>E31/E32</f>
        <v>8.7635613440241629E-3</v>
      </c>
      <c r="G35" s="42" t="s">
        <v>153</v>
      </c>
      <c r="H35" s="42"/>
      <c r="I35" s="42"/>
      <c r="J35" s="33"/>
    </row>
    <row r="37" spans="2:10" x14ac:dyDescent="0.3">
      <c r="B37" s="54" t="s">
        <v>154</v>
      </c>
      <c r="G37" t="s">
        <v>137</v>
      </c>
      <c r="J37" s="4">
        <f>J25</f>
        <v>0.10366996915999163</v>
      </c>
    </row>
    <row r="38" spans="2:10" x14ac:dyDescent="0.3">
      <c r="B38" s="55" t="s">
        <v>155</v>
      </c>
      <c r="C38" s="55"/>
      <c r="D38" s="55"/>
      <c r="E38" s="55"/>
      <c r="G38" t="s">
        <v>156</v>
      </c>
      <c r="J38" s="4">
        <f>E32</f>
        <v>0.99131257146883056</v>
      </c>
    </row>
    <row r="39" spans="2:10" x14ac:dyDescent="0.3">
      <c r="B39" s="55" t="s">
        <v>451</v>
      </c>
      <c r="C39" s="55"/>
      <c r="D39" s="55"/>
      <c r="E39" s="55"/>
      <c r="J39" s="4"/>
    </row>
    <row r="40" spans="2:10" x14ac:dyDescent="0.3">
      <c r="B40" s="55" t="s">
        <v>157</v>
      </c>
      <c r="C40" s="55"/>
      <c r="D40" s="55"/>
      <c r="E40" s="55"/>
      <c r="G40" t="s">
        <v>136</v>
      </c>
      <c r="J40" s="50">
        <f>E24</f>
        <v>5.6249999999999994E-2</v>
      </c>
    </row>
    <row r="41" spans="2:10" x14ac:dyDescent="0.3">
      <c r="B41" s="55" t="s">
        <v>158</v>
      </c>
      <c r="C41" s="55"/>
      <c r="D41" s="55"/>
      <c r="E41" s="55"/>
      <c r="G41" t="s">
        <v>159</v>
      </c>
      <c r="J41" s="4">
        <f>E31</f>
        <v>8.6874285311694336E-3</v>
      </c>
    </row>
    <row r="42" spans="2:10" ht="36" x14ac:dyDescent="0.3">
      <c r="B42" s="86" t="s">
        <v>401</v>
      </c>
    </row>
    <row r="43" spans="2:10" x14ac:dyDescent="0.3">
      <c r="G43" s="56" t="s">
        <v>160</v>
      </c>
      <c r="H43" s="56"/>
      <c r="I43" s="56"/>
      <c r="J43" s="57">
        <f>(J38*J37)+(J40*J41)</f>
        <v>0.10325801156696394</v>
      </c>
    </row>
  </sheetData>
  <mergeCells count="1">
    <mergeCell ref="B2:J2"/>
  </mergeCells>
  <pageMargins left="0.25" right="0.25" top="0.75" bottom="0.75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9A02-3AAD-4F32-BADA-7E51CAE05CAE}">
  <sheetPr>
    <pageSetUpPr fitToPage="1"/>
  </sheetPr>
  <dimension ref="B2:K67"/>
  <sheetViews>
    <sheetView showGridLines="0" topLeftCell="A43" workbookViewId="0">
      <selection activeCell="N69" sqref="N69"/>
    </sheetView>
  </sheetViews>
  <sheetFormatPr defaultRowHeight="14.4" x14ac:dyDescent="0.3"/>
  <cols>
    <col min="1" max="1" width="1.88671875" customWidth="1"/>
    <col min="10" max="10" width="13.5546875" bestFit="1" customWidth="1"/>
  </cols>
  <sheetData>
    <row r="2" spans="2:11" x14ac:dyDescent="0.3">
      <c r="B2" s="87" t="s">
        <v>221</v>
      </c>
      <c r="C2" s="87"/>
      <c r="D2" s="87"/>
      <c r="E2" s="87"/>
      <c r="F2" s="87"/>
      <c r="G2" s="88">
        <f>'Raw FS'!J$2</f>
        <v>44626</v>
      </c>
      <c r="H2" s="88">
        <f>'Raw FS'!K$2</f>
        <v>44992</v>
      </c>
      <c r="I2" s="88">
        <f>'Raw FS'!L$2</f>
        <v>45358</v>
      </c>
      <c r="J2" s="88">
        <f>'Raw FS'!M$2</f>
        <v>45724</v>
      </c>
      <c r="K2" s="88">
        <f>'Raw FS'!N$2</f>
        <v>46090</v>
      </c>
    </row>
    <row r="4" spans="2:11" x14ac:dyDescent="0.3">
      <c r="B4" s="89" t="s">
        <v>119</v>
      </c>
    </row>
    <row r="6" spans="2:11" x14ac:dyDescent="0.3">
      <c r="B6" s="2" t="s">
        <v>222</v>
      </c>
      <c r="C6" s="90"/>
      <c r="D6" s="90"/>
      <c r="E6" s="90"/>
      <c r="F6" s="90"/>
      <c r="G6" s="90"/>
      <c r="H6" s="90"/>
      <c r="I6" s="90"/>
      <c r="J6" s="90"/>
      <c r="K6" s="90"/>
    </row>
    <row r="7" spans="2:11" x14ac:dyDescent="0.3">
      <c r="B7" s="91" t="s">
        <v>244</v>
      </c>
      <c r="C7" s="91"/>
      <c r="D7" s="91"/>
      <c r="E7" s="91"/>
      <c r="F7" s="91"/>
      <c r="G7" s="92">
        <f>'Raw FS'!J35</f>
        <v>4096</v>
      </c>
      <c r="H7" s="92">
        <f>'Raw FS'!K35</f>
        <v>4251</v>
      </c>
      <c r="I7" s="92">
        <f>'Raw FS'!L35</f>
        <v>4022</v>
      </c>
      <c r="J7" s="92">
        <f>'Raw FS'!M35</f>
        <v>4415</v>
      </c>
      <c r="K7" s="92">
        <f>'Raw FS'!N35</f>
        <v>4789</v>
      </c>
    </row>
    <row r="8" spans="2:11" x14ac:dyDescent="0.3">
      <c r="B8" s="91" t="s">
        <v>245</v>
      </c>
      <c r="C8" s="91"/>
      <c r="D8" s="91"/>
      <c r="E8" s="91"/>
      <c r="F8" s="91"/>
      <c r="G8" s="92">
        <f>'Raw FS'!J36</f>
        <v>2236</v>
      </c>
      <c r="H8" s="92">
        <f>'Raw FS'!K36</f>
        <v>3079</v>
      </c>
      <c r="I8" s="92">
        <f>'Raw FS'!L36</f>
        <v>2997</v>
      </c>
      <c r="J8" s="92">
        <f>'Raw FS'!M36</f>
        <v>3819</v>
      </c>
      <c r="K8" s="92">
        <f>'Raw FS'!N36</f>
        <v>3379</v>
      </c>
    </row>
    <row r="9" spans="2:11" x14ac:dyDescent="0.3">
      <c r="B9" s="91" t="s">
        <v>246</v>
      </c>
      <c r="C9" s="91"/>
      <c r="D9" s="91"/>
      <c r="E9" s="91"/>
      <c r="F9" s="91"/>
      <c r="G9" s="92">
        <f>'Raw FS'!J38</f>
        <v>170</v>
      </c>
      <c r="H9" s="92">
        <f>'Raw FS'!K38</f>
        <v>188</v>
      </c>
      <c r="I9" s="92">
        <f>'Raw FS'!L38</f>
        <v>172</v>
      </c>
      <c r="J9" s="92">
        <f>'Raw FS'!M38</f>
        <v>619</v>
      </c>
      <c r="K9" s="92">
        <f>'Raw FS'!N38</f>
        <v>1024</v>
      </c>
    </row>
    <row r="10" spans="2:11" x14ac:dyDescent="0.3">
      <c r="B10" s="90" t="s">
        <v>247</v>
      </c>
      <c r="C10" s="90"/>
      <c r="D10" s="90"/>
      <c r="E10" s="90"/>
      <c r="F10" s="90"/>
      <c r="G10" s="93">
        <f>'Raw FS'!J39</f>
        <v>3851</v>
      </c>
      <c r="H10" s="93">
        <f>'Raw FS'!K39</f>
        <v>4189</v>
      </c>
      <c r="I10" s="93">
        <f>'Raw FS'!L39</f>
        <v>4345</v>
      </c>
      <c r="J10" s="93">
        <f>'Raw FS'!M39</f>
        <v>4302</v>
      </c>
      <c r="K10" s="93">
        <f>'Raw FS'!N39</f>
        <v>4631</v>
      </c>
    </row>
    <row r="11" spans="2:11" x14ac:dyDescent="0.3">
      <c r="B11" s="94" t="s">
        <v>85</v>
      </c>
      <c r="C11" s="95"/>
      <c r="D11" s="95"/>
      <c r="E11" s="95"/>
      <c r="F11" s="95"/>
      <c r="G11" s="96">
        <f>SUM(G7:G10)</f>
        <v>10353</v>
      </c>
      <c r="H11" s="96">
        <f t="shared" ref="H11:K11" si="0">SUM(H7:H10)</f>
        <v>11707</v>
      </c>
      <c r="I11" s="96">
        <f t="shared" si="0"/>
        <v>11536</v>
      </c>
      <c r="J11" s="96">
        <f t="shared" si="0"/>
        <v>13155</v>
      </c>
      <c r="K11" s="96">
        <f t="shared" si="0"/>
        <v>13823</v>
      </c>
    </row>
    <row r="12" spans="2:11" x14ac:dyDescent="0.3">
      <c r="B12" s="90"/>
      <c r="C12" s="90"/>
      <c r="D12" s="90"/>
      <c r="E12" s="90"/>
      <c r="F12" s="90"/>
      <c r="G12" s="90"/>
      <c r="H12" s="90"/>
      <c r="I12" s="90"/>
      <c r="J12" s="90"/>
      <c r="K12" s="90"/>
    </row>
    <row r="13" spans="2:11" x14ac:dyDescent="0.3">
      <c r="B13" s="2" t="s">
        <v>223</v>
      </c>
      <c r="C13" s="90"/>
      <c r="D13" s="90"/>
      <c r="E13" s="90"/>
      <c r="F13" s="90"/>
      <c r="G13" s="90"/>
      <c r="H13" s="90"/>
      <c r="I13" s="90"/>
      <c r="J13" s="90"/>
      <c r="K13" s="90"/>
    </row>
    <row r="14" spans="2:11" x14ac:dyDescent="0.3">
      <c r="B14" s="91" t="s">
        <v>248</v>
      </c>
      <c r="C14" s="91"/>
      <c r="D14" s="91"/>
      <c r="E14" s="91"/>
      <c r="F14" s="91"/>
      <c r="G14" s="92">
        <f>'Raw FS'!J12</f>
        <v>9068</v>
      </c>
      <c r="H14" s="92">
        <f>'Raw FS'!K12</f>
        <v>9574</v>
      </c>
      <c r="I14" s="92">
        <f>'Raw FS'!L12</f>
        <v>10486</v>
      </c>
      <c r="J14" s="92">
        <f>'Raw FS'!M12</f>
        <v>11315</v>
      </c>
      <c r="K14" s="92">
        <f>'Raw FS'!N12</f>
        <v>13325</v>
      </c>
    </row>
    <row r="15" spans="2:11" x14ac:dyDescent="0.3">
      <c r="B15" s="91" t="s">
        <v>249</v>
      </c>
      <c r="C15" s="91"/>
      <c r="D15" s="91"/>
      <c r="E15" s="91"/>
      <c r="F15" s="91"/>
      <c r="G15" s="92">
        <f>'Raw FS'!J13</f>
        <v>119</v>
      </c>
      <c r="H15" s="92">
        <f>'Raw FS'!K13</f>
        <v>98</v>
      </c>
      <c r="I15" s="92">
        <f>'Raw FS'!L13</f>
        <v>91</v>
      </c>
      <c r="J15" s="92">
        <f>'Raw FS'!M13</f>
        <v>0</v>
      </c>
      <c r="K15" s="92">
        <f>'Raw FS'!N13</f>
        <v>0</v>
      </c>
    </row>
    <row r="16" spans="2:11" x14ac:dyDescent="0.3">
      <c r="B16" s="91" t="s">
        <v>250</v>
      </c>
      <c r="C16" s="91"/>
      <c r="D16" s="91"/>
      <c r="E16" s="91"/>
      <c r="F16" s="91"/>
      <c r="G16" s="92">
        <f>'Raw FS'!J14</f>
        <v>11189</v>
      </c>
      <c r="H16" s="92">
        <f>'Raw FS'!K14</f>
        <v>11664</v>
      </c>
      <c r="I16" s="92">
        <f>'Raw FS'!L14</f>
        <v>15005</v>
      </c>
      <c r="J16" s="92">
        <f>'Raw FS'!M14</f>
        <v>17291</v>
      </c>
      <c r="K16" s="92">
        <f>'Raw FS'!N14</f>
        <v>15927</v>
      </c>
    </row>
    <row r="17" spans="2:11" x14ac:dyDescent="0.3">
      <c r="B17" s="94" t="s">
        <v>224</v>
      </c>
      <c r="C17" s="95"/>
      <c r="D17" s="95"/>
      <c r="E17" s="95"/>
      <c r="F17" s="95"/>
      <c r="G17" s="96">
        <f>SUM(G14:G16)</f>
        <v>20376</v>
      </c>
      <c r="H17" s="96">
        <f t="shared" ref="H17:K17" si="1">SUM(H14:H16)</f>
        <v>21336</v>
      </c>
      <c r="I17" s="96">
        <f t="shared" si="1"/>
        <v>25582</v>
      </c>
      <c r="J17" s="96">
        <f t="shared" si="1"/>
        <v>28606</v>
      </c>
      <c r="K17" s="96">
        <f t="shared" si="1"/>
        <v>29252</v>
      </c>
    </row>
    <row r="18" spans="2:11" x14ac:dyDescent="0.3">
      <c r="B18" s="90"/>
      <c r="C18" s="90"/>
      <c r="D18" s="90"/>
      <c r="E18" s="90"/>
      <c r="F18" s="90"/>
      <c r="G18" s="90"/>
      <c r="H18" s="90"/>
      <c r="I18" s="90"/>
      <c r="J18" s="90"/>
      <c r="K18" s="90"/>
    </row>
    <row r="19" spans="2:11" ht="15" thickBot="1" x14ac:dyDescent="0.35">
      <c r="B19" s="97" t="s">
        <v>225</v>
      </c>
      <c r="C19" s="97"/>
      <c r="D19" s="97"/>
      <c r="E19" s="97"/>
      <c r="F19" s="97"/>
      <c r="G19" s="98">
        <f>G11-G17</f>
        <v>-10023</v>
      </c>
      <c r="H19" s="98">
        <f t="shared" ref="H19:K19" si="2">H11-H17</f>
        <v>-9629</v>
      </c>
      <c r="I19" s="98">
        <f t="shared" si="2"/>
        <v>-14046</v>
      </c>
      <c r="J19" s="98">
        <f t="shared" si="2"/>
        <v>-15451</v>
      </c>
      <c r="K19" s="98">
        <f t="shared" si="2"/>
        <v>-15429</v>
      </c>
    </row>
    <row r="20" spans="2:11" x14ac:dyDescent="0.3">
      <c r="B20" s="90"/>
      <c r="C20" s="90"/>
      <c r="D20" s="90"/>
      <c r="E20" s="90"/>
      <c r="F20" s="90"/>
      <c r="G20" s="90"/>
      <c r="H20" s="90"/>
      <c r="I20" s="90"/>
      <c r="J20" s="90"/>
      <c r="K20" s="90"/>
    </row>
    <row r="21" spans="2:11" x14ac:dyDescent="0.3">
      <c r="B21" s="2" t="s">
        <v>226</v>
      </c>
      <c r="C21" s="90"/>
      <c r="D21" s="90"/>
      <c r="E21" s="90"/>
      <c r="F21" s="90"/>
      <c r="G21" s="90"/>
      <c r="H21" s="90"/>
      <c r="I21" s="90"/>
      <c r="J21" s="90"/>
      <c r="K21" s="90"/>
    </row>
    <row r="22" spans="2:11" x14ac:dyDescent="0.3">
      <c r="B22" s="2" t="s">
        <v>266</v>
      </c>
      <c r="C22" s="90"/>
      <c r="D22" s="90"/>
      <c r="E22" s="90"/>
      <c r="F22" s="90"/>
      <c r="G22" s="90">
        <f>'Raw FS'!J18</f>
        <v>477</v>
      </c>
      <c r="H22" s="90">
        <f>'Raw FS'!K18</f>
        <v>609</v>
      </c>
      <c r="I22" s="90">
        <f>'Raw FS'!L18</f>
        <v>633</v>
      </c>
      <c r="J22" s="90">
        <f>'Raw FS'!M18</f>
        <v>628</v>
      </c>
      <c r="K22" s="90">
        <f>'Raw FS'!N18</f>
        <v>636</v>
      </c>
    </row>
    <row r="23" spans="2:11" x14ac:dyDescent="0.3">
      <c r="B23" s="91" t="s">
        <v>251</v>
      </c>
      <c r="C23" s="91"/>
      <c r="D23" s="91"/>
      <c r="E23" s="91"/>
      <c r="F23" s="91"/>
      <c r="G23" s="92">
        <f>'Raw FS'!J19</f>
        <v>2788</v>
      </c>
      <c r="H23" s="92">
        <f>'Raw FS'!K19</f>
        <v>3101</v>
      </c>
      <c r="I23" s="92">
        <f>'Raw FS'!L19</f>
        <v>3590</v>
      </c>
      <c r="J23" s="92">
        <f>'Raw FS'!M19</f>
        <v>3833</v>
      </c>
      <c r="K23" s="92">
        <f>'Raw FS'!N19</f>
        <v>4067</v>
      </c>
    </row>
    <row r="24" spans="2:11" x14ac:dyDescent="0.3">
      <c r="B24" s="91" t="s">
        <v>252</v>
      </c>
      <c r="C24" s="91"/>
      <c r="D24" s="91"/>
      <c r="E24" s="91"/>
      <c r="F24" s="91"/>
      <c r="G24" s="92">
        <f>'Raw FS'!J20</f>
        <v>6566</v>
      </c>
      <c r="H24" s="92">
        <f>'Raw FS'!K20</f>
        <v>7612</v>
      </c>
      <c r="I24" s="92">
        <f>'Raw FS'!L20</f>
        <v>8946</v>
      </c>
      <c r="J24" s="92">
        <f>'Raw FS'!M20</f>
        <v>9900</v>
      </c>
      <c r="K24" s="92">
        <f>'Raw FS'!N20</f>
        <v>9296</v>
      </c>
    </row>
    <row r="25" spans="2:11" x14ac:dyDescent="0.3">
      <c r="B25" s="91" t="s">
        <v>253</v>
      </c>
      <c r="C25" s="91"/>
      <c r="D25" s="91"/>
      <c r="E25" s="91"/>
      <c r="F25" s="91"/>
      <c r="G25" s="92">
        <f>'Raw FS'!J21</f>
        <v>181</v>
      </c>
      <c r="H25" s="92">
        <f>'Raw FS'!K21</f>
        <v>185</v>
      </c>
      <c r="I25" s="92">
        <f>'Raw FS'!L21</f>
        <v>206</v>
      </c>
      <c r="J25" s="92">
        <f>'Raw FS'!M21</f>
        <v>245</v>
      </c>
      <c r="K25" s="92">
        <f>'Raw FS'!N21</f>
        <v>286</v>
      </c>
    </row>
    <row r="26" spans="2:11" x14ac:dyDescent="0.3">
      <c r="B26" s="91" t="s">
        <v>254</v>
      </c>
      <c r="C26" s="91"/>
      <c r="D26" s="91"/>
      <c r="E26" s="91"/>
      <c r="F26" s="91"/>
      <c r="G26" s="92">
        <f>'Raw FS'!J22</f>
        <v>152</v>
      </c>
      <c r="H26" s="92">
        <f>'Raw FS'!K22</f>
        <v>161</v>
      </c>
      <c r="I26" s="92">
        <f>'Raw FS'!L22</f>
        <v>165</v>
      </c>
      <c r="J26" s="92">
        <f>'Raw FS'!M22</f>
        <v>174</v>
      </c>
      <c r="K26" s="92">
        <f>'Raw FS'!N22</f>
        <v>220</v>
      </c>
    </row>
    <row r="27" spans="2:11" x14ac:dyDescent="0.3">
      <c r="B27" t="s">
        <v>280</v>
      </c>
      <c r="G27" s="92">
        <f>'Raw FS'!J23</f>
        <v>0</v>
      </c>
      <c r="H27" s="92">
        <f>'Raw FS'!K23</f>
        <v>0</v>
      </c>
      <c r="I27" s="92">
        <f>'Raw FS'!L23</f>
        <v>0</v>
      </c>
      <c r="J27" s="92">
        <f>'Raw FS'!M23</f>
        <v>0</v>
      </c>
      <c r="K27" s="92">
        <f>'Raw FS'!N23</f>
        <v>0</v>
      </c>
    </row>
    <row r="28" spans="2:11" x14ac:dyDescent="0.3">
      <c r="B28" s="91" t="s">
        <v>255</v>
      </c>
      <c r="C28" s="91"/>
      <c r="D28" s="91"/>
      <c r="E28" s="91"/>
      <c r="F28" s="91"/>
      <c r="G28" s="92">
        <f>'Raw FS'!J24</f>
        <v>0</v>
      </c>
      <c r="H28" s="92">
        <f>'Raw FS'!K24</f>
        <v>33</v>
      </c>
      <c r="I28" s="92">
        <f>'Raw FS'!L24</f>
        <v>39</v>
      </c>
      <c r="J28" s="92">
        <f>'Raw FS'!M24</f>
        <v>102</v>
      </c>
      <c r="K28" s="92">
        <f>'Raw FS'!N24</f>
        <v>103</v>
      </c>
    </row>
    <row r="29" spans="2:11" x14ac:dyDescent="0.3">
      <c r="B29" s="91" t="s">
        <v>256</v>
      </c>
      <c r="C29" s="91"/>
      <c r="D29" s="91"/>
      <c r="E29" s="91"/>
      <c r="F29" s="91"/>
      <c r="G29" s="92">
        <f>'Raw FS'!J25</f>
        <v>45262</v>
      </c>
      <c r="H29" s="92">
        <f>'Raw FS'!K25</f>
        <v>45692</v>
      </c>
      <c r="I29" s="92">
        <f>'Raw FS'!L25</f>
        <v>45692</v>
      </c>
      <c r="J29" s="92">
        <f>'Raw FS'!M25</f>
        <v>45692</v>
      </c>
      <c r="K29" s="92">
        <f>'Raw FS'!N25</f>
        <v>49195</v>
      </c>
    </row>
    <row r="30" spans="2:11" x14ac:dyDescent="0.3">
      <c r="B30" s="91" t="s">
        <v>257</v>
      </c>
      <c r="C30" s="91"/>
      <c r="D30" s="91"/>
      <c r="E30" s="91"/>
      <c r="F30" s="91"/>
      <c r="G30" s="92">
        <f>'Raw FS'!J26</f>
        <v>152</v>
      </c>
      <c r="H30" s="92">
        <f>'Raw FS'!K26</f>
        <v>171</v>
      </c>
      <c r="I30" s="92">
        <f>'Raw FS'!L26</f>
        <v>180</v>
      </c>
      <c r="J30" s="92">
        <f>'Raw FS'!M26</f>
        <v>190</v>
      </c>
      <c r="K30" s="92">
        <f>'Raw FS'!N26</f>
        <v>210</v>
      </c>
    </row>
    <row r="31" spans="2:11" x14ac:dyDescent="0.3">
      <c r="B31" s="94" t="s">
        <v>227</v>
      </c>
      <c r="C31" s="95"/>
      <c r="D31" s="95"/>
      <c r="E31" s="95"/>
      <c r="F31" s="95"/>
      <c r="G31" s="96">
        <f>SUM(G22:G30)</f>
        <v>55578</v>
      </c>
      <c r="H31" s="96">
        <f t="shared" ref="H31:K31" si="3">SUM(H22:H30)</f>
        <v>57564</v>
      </c>
      <c r="I31" s="96">
        <f t="shared" si="3"/>
        <v>59451</v>
      </c>
      <c r="J31" s="96">
        <f t="shared" si="3"/>
        <v>60764</v>
      </c>
      <c r="K31" s="96">
        <f t="shared" si="3"/>
        <v>64013</v>
      </c>
    </row>
    <row r="32" spans="2:11" x14ac:dyDescent="0.3">
      <c r="B32" s="90" t="s">
        <v>228</v>
      </c>
      <c r="C32" s="90"/>
      <c r="D32" s="90"/>
      <c r="E32" s="90"/>
      <c r="F32" s="90"/>
      <c r="G32" s="90">
        <f>'Raw FS'!J28</f>
        <v>4105</v>
      </c>
      <c r="H32" s="90">
        <f>'Raw FS'!K28</f>
        <v>4886</v>
      </c>
      <c r="I32" s="90">
        <f>'Raw FS'!L28</f>
        <v>5707</v>
      </c>
      <c r="J32" s="90">
        <f>'Raw FS'!M28</f>
        <v>6429</v>
      </c>
      <c r="K32" s="90">
        <f>'Raw FS'!N28</f>
        <v>6585</v>
      </c>
    </row>
    <row r="33" spans="2:11" ht="15" thickBot="1" x14ac:dyDescent="0.35">
      <c r="B33" s="99" t="s">
        <v>229</v>
      </c>
      <c r="C33" s="100"/>
      <c r="D33" s="100"/>
      <c r="E33" s="100"/>
      <c r="F33" s="100"/>
      <c r="G33" s="101">
        <f>G31-G32</f>
        <v>51473</v>
      </c>
      <c r="H33" s="101">
        <f t="shared" ref="H33:K33" si="4">H31-H32</f>
        <v>52678</v>
      </c>
      <c r="I33" s="101">
        <f t="shared" si="4"/>
        <v>53744</v>
      </c>
      <c r="J33" s="101">
        <f t="shared" si="4"/>
        <v>54335</v>
      </c>
      <c r="K33" s="101">
        <f t="shared" si="4"/>
        <v>57428</v>
      </c>
    </row>
    <row r="34" spans="2:11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</row>
    <row r="35" spans="2:11" x14ac:dyDescent="0.3">
      <c r="B35" s="2" t="s">
        <v>230</v>
      </c>
      <c r="C35" s="2"/>
      <c r="D35" s="2"/>
      <c r="E35" s="2"/>
      <c r="F35" s="2"/>
      <c r="G35" s="102">
        <f>G19+G33</f>
        <v>41450</v>
      </c>
      <c r="H35" s="102">
        <f t="shared" ref="H35:K35" si="5">H19+H33</f>
        <v>43049</v>
      </c>
      <c r="I35" s="102">
        <f t="shared" si="5"/>
        <v>39698</v>
      </c>
      <c r="J35" s="102">
        <f t="shared" si="5"/>
        <v>38884</v>
      </c>
      <c r="K35" s="102">
        <f t="shared" si="5"/>
        <v>41999</v>
      </c>
    </row>
    <row r="36" spans="2:11" x14ac:dyDescent="0.3">
      <c r="B36" s="2" t="s">
        <v>231</v>
      </c>
      <c r="C36" s="2"/>
      <c r="D36" s="2"/>
      <c r="E36" s="2"/>
      <c r="F36" s="2"/>
      <c r="G36" s="2">
        <f>IFERROR(HistoricalFS!G24,0)</f>
        <v>11766</v>
      </c>
      <c r="H36" s="2">
        <f>IFERROR(HistoricalFS!H24,0)</f>
        <v>13010</v>
      </c>
      <c r="I36" s="2">
        <f>IFERROR(HistoricalFS!I24,0)</f>
        <v>13443</v>
      </c>
      <c r="J36" s="2">
        <f>IFERROR(HistoricalFS!J24,0)</f>
        <v>13445</v>
      </c>
      <c r="K36" s="2">
        <f>IFERROR(HistoricalFS!K24,0)</f>
        <v>13706</v>
      </c>
    </row>
    <row r="37" spans="2:11" x14ac:dyDescent="0.3">
      <c r="B37" s="103" t="s">
        <v>232</v>
      </c>
      <c r="C37" s="103"/>
      <c r="D37" s="103"/>
      <c r="E37" s="103"/>
      <c r="F37" s="103"/>
      <c r="G37" s="104">
        <v>0.25</v>
      </c>
      <c r="H37" s="104">
        <v>0.25</v>
      </c>
      <c r="I37" s="104">
        <v>0.25</v>
      </c>
      <c r="J37" s="104">
        <v>0.25</v>
      </c>
      <c r="K37" s="104">
        <v>0.25</v>
      </c>
    </row>
    <row r="38" spans="2:11" x14ac:dyDescent="0.3">
      <c r="B38" s="2" t="s">
        <v>233</v>
      </c>
      <c r="C38" s="2"/>
      <c r="D38" s="2"/>
      <c r="E38" s="2"/>
      <c r="F38" s="2"/>
      <c r="G38" s="105">
        <f>G36*(1-G37)</f>
        <v>8824.5</v>
      </c>
      <c r="H38" s="105">
        <f t="shared" ref="H38:K38" si="6">H36*(1-H37)</f>
        <v>9757.5</v>
      </c>
      <c r="I38" s="105">
        <f t="shared" si="6"/>
        <v>10082.25</v>
      </c>
      <c r="J38" s="105">
        <f t="shared" si="6"/>
        <v>10083.75</v>
      </c>
      <c r="K38" s="105">
        <f t="shared" si="6"/>
        <v>10279.5</v>
      </c>
    </row>
    <row r="39" spans="2:11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</row>
    <row r="40" spans="2:11" ht="15" thickBot="1" x14ac:dyDescent="0.35">
      <c r="B40" s="99" t="s">
        <v>234</v>
      </c>
      <c r="C40" s="100"/>
      <c r="D40" s="100"/>
      <c r="E40" s="100"/>
      <c r="F40" s="100"/>
      <c r="G40" s="106">
        <f>G38/G35</f>
        <v>0.21289505428226779</v>
      </c>
      <c r="H40" s="106">
        <f t="shared" ref="H40:K40" si="7">H38/H35</f>
        <v>0.22666031731282957</v>
      </c>
      <c r="I40" s="106">
        <f t="shared" si="7"/>
        <v>0.25397375182628845</v>
      </c>
      <c r="J40" s="106">
        <f t="shared" si="7"/>
        <v>0.25932902993519186</v>
      </c>
      <c r="K40" s="106">
        <f t="shared" si="7"/>
        <v>0.24475582751970285</v>
      </c>
    </row>
    <row r="41" spans="2:11" x14ac:dyDescent="0.3">
      <c r="B41" s="90"/>
      <c r="C41" s="90"/>
      <c r="D41" s="90"/>
      <c r="E41" s="90"/>
      <c r="F41" s="90"/>
      <c r="G41" s="90"/>
      <c r="H41" s="90"/>
      <c r="I41" s="90"/>
      <c r="J41" s="90"/>
      <c r="K41" s="90"/>
    </row>
    <row r="42" spans="2:11" x14ac:dyDescent="0.3">
      <c r="B42" s="90"/>
      <c r="C42" s="90"/>
      <c r="D42" s="90"/>
      <c r="E42" s="90"/>
      <c r="F42" s="90"/>
      <c r="G42" s="90"/>
      <c r="H42" s="90"/>
      <c r="I42" s="90"/>
      <c r="J42" s="90"/>
      <c r="K42" s="90"/>
    </row>
    <row r="43" spans="2:11" x14ac:dyDescent="0.3">
      <c r="B43" s="87" t="s">
        <v>235</v>
      </c>
      <c r="C43" s="87"/>
      <c r="D43" s="87"/>
      <c r="E43" s="87"/>
      <c r="F43" s="87"/>
      <c r="G43" s="88">
        <f>G2</f>
        <v>44626</v>
      </c>
      <c r="H43" s="88">
        <f t="shared" ref="H43:K43" si="8">H2</f>
        <v>44992</v>
      </c>
      <c r="I43" s="88">
        <f t="shared" si="8"/>
        <v>45358</v>
      </c>
      <c r="J43" s="88">
        <f t="shared" si="8"/>
        <v>45724</v>
      </c>
      <c r="K43" s="88">
        <f t="shared" si="8"/>
        <v>46090</v>
      </c>
    </row>
    <row r="44" spans="2:11" x14ac:dyDescent="0.3">
      <c r="B44" s="90"/>
      <c r="C44" s="90"/>
      <c r="D44" s="90"/>
      <c r="E44" s="90"/>
      <c r="F44" s="90"/>
      <c r="G44" s="90"/>
      <c r="H44" s="90"/>
      <c r="I44" s="90"/>
      <c r="J44" s="90"/>
      <c r="K44" s="90"/>
    </row>
    <row r="45" spans="2:11" x14ac:dyDescent="0.3">
      <c r="B45" s="103" t="s">
        <v>236</v>
      </c>
      <c r="C45" s="103"/>
      <c r="D45" s="103"/>
      <c r="E45" s="103"/>
      <c r="F45" s="103"/>
      <c r="G45" s="105">
        <f>-SUM('Raw FS'!J58:J59)</f>
        <v>1053</v>
      </c>
      <c r="H45" s="105">
        <f>-SUM('Raw FS'!K58:K59)</f>
        <v>1011</v>
      </c>
      <c r="I45" s="105">
        <f>-SUM('Raw FS'!L58:L59)</f>
        <v>1457</v>
      </c>
      <c r="J45" s="105">
        <f>-SUM('Raw FS'!M58:M59)</f>
        <v>1262</v>
      </c>
      <c r="K45" s="105">
        <f>-SUM('Raw FS'!N58:N59)</f>
        <v>1332</v>
      </c>
    </row>
    <row r="46" spans="2:11" x14ac:dyDescent="0.3">
      <c r="B46" s="103" t="s">
        <v>237</v>
      </c>
      <c r="C46" s="103"/>
      <c r="D46" s="103"/>
      <c r="E46" s="103"/>
      <c r="F46" s="103"/>
      <c r="G46" s="105"/>
      <c r="H46" s="105">
        <f>H19-G19</f>
        <v>394</v>
      </c>
      <c r="I46" s="105">
        <f t="shared" ref="I46:K46" si="9">I19-H19</f>
        <v>-4417</v>
      </c>
      <c r="J46" s="105">
        <f t="shared" si="9"/>
        <v>-1405</v>
      </c>
      <c r="K46" s="105">
        <f t="shared" si="9"/>
        <v>22</v>
      </c>
    </row>
    <row r="47" spans="2:11" x14ac:dyDescent="0.3">
      <c r="B47" s="103"/>
      <c r="C47" s="103"/>
      <c r="D47" s="103"/>
      <c r="E47" s="103"/>
      <c r="F47" s="103"/>
      <c r="G47" s="105"/>
      <c r="H47" s="105"/>
      <c r="I47" s="105"/>
      <c r="J47" s="105"/>
      <c r="K47" s="105"/>
    </row>
    <row r="48" spans="2:11" x14ac:dyDescent="0.3">
      <c r="B48" s="103" t="s">
        <v>231</v>
      </c>
      <c r="C48" s="103"/>
      <c r="D48" s="103"/>
      <c r="E48" s="103"/>
      <c r="F48" s="103"/>
      <c r="G48" s="105">
        <f>G36</f>
        <v>11766</v>
      </c>
      <c r="H48" s="105">
        <f t="shared" ref="H48:K48" si="10">H36</f>
        <v>13010</v>
      </c>
      <c r="I48" s="105">
        <f t="shared" si="10"/>
        <v>13443</v>
      </c>
      <c r="J48" s="105">
        <f t="shared" si="10"/>
        <v>13445</v>
      </c>
      <c r="K48" s="105">
        <f t="shared" si="10"/>
        <v>13706</v>
      </c>
    </row>
    <row r="49" spans="2:11" x14ac:dyDescent="0.3">
      <c r="B49" s="103" t="s">
        <v>232</v>
      </c>
      <c r="C49" s="103"/>
      <c r="D49" s="103"/>
      <c r="E49" s="103"/>
      <c r="F49" s="103"/>
      <c r="G49" s="107">
        <f>G37</f>
        <v>0.25</v>
      </c>
      <c r="H49" s="107">
        <f t="shared" ref="H49:K49" si="11">H37</f>
        <v>0.25</v>
      </c>
      <c r="I49" s="107">
        <f t="shared" si="11"/>
        <v>0.25</v>
      </c>
      <c r="J49" s="107">
        <f t="shared" si="11"/>
        <v>0.25</v>
      </c>
      <c r="K49" s="107">
        <f t="shared" si="11"/>
        <v>0.25</v>
      </c>
    </row>
    <row r="50" spans="2:11" x14ac:dyDescent="0.3">
      <c r="B50" s="103" t="s">
        <v>233</v>
      </c>
      <c r="C50" s="103"/>
      <c r="D50" s="103"/>
      <c r="E50" s="103"/>
      <c r="F50" s="103"/>
      <c r="G50" s="105">
        <f>G38</f>
        <v>8824.5</v>
      </c>
      <c r="H50" s="105">
        <f t="shared" ref="H50:K50" si="12">H38</f>
        <v>9757.5</v>
      </c>
      <c r="I50" s="105">
        <f t="shared" si="12"/>
        <v>10082.25</v>
      </c>
      <c r="J50" s="105">
        <f t="shared" si="12"/>
        <v>10083.75</v>
      </c>
      <c r="K50" s="105">
        <f t="shared" si="12"/>
        <v>10279.5</v>
      </c>
    </row>
    <row r="51" spans="2:11" x14ac:dyDescent="0.3">
      <c r="B51" s="103"/>
      <c r="C51" s="103"/>
      <c r="D51" s="103"/>
      <c r="E51" s="103"/>
      <c r="F51" s="103"/>
      <c r="G51" s="105"/>
      <c r="H51" s="105"/>
      <c r="I51" s="105"/>
      <c r="J51" s="105"/>
      <c r="K51" s="105"/>
    </row>
    <row r="52" spans="2:11" x14ac:dyDescent="0.3">
      <c r="B52" s="103" t="s">
        <v>238</v>
      </c>
      <c r="C52" s="103"/>
      <c r="D52" s="103"/>
      <c r="E52" s="103"/>
      <c r="F52" s="103"/>
      <c r="G52" s="105"/>
      <c r="H52" s="105">
        <f>SUM(H45:H46)</f>
        <v>1405</v>
      </c>
      <c r="I52" s="105">
        <f t="shared" ref="I52:K52" si="13">SUM(I45:I46)</f>
        <v>-2960</v>
      </c>
      <c r="J52" s="105">
        <f t="shared" si="13"/>
        <v>-143</v>
      </c>
      <c r="K52" s="105">
        <f t="shared" si="13"/>
        <v>1354</v>
      </c>
    </row>
    <row r="53" spans="2:11" x14ac:dyDescent="0.3">
      <c r="B53" s="90"/>
      <c r="C53" s="90"/>
      <c r="D53" s="90"/>
      <c r="E53" s="90"/>
      <c r="F53" s="90"/>
      <c r="G53" s="90"/>
      <c r="H53" s="90"/>
      <c r="I53" s="90"/>
      <c r="J53" s="90"/>
      <c r="K53" s="90"/>
    </row>
    <row r="54" spans="2:11" ht="15" thickBot="1" x14ac:dyDescent="0.35">
      <c r="B54" s="108" t="s">
        <v>239</v>
      </c>
      <c r="C54" s="108"/>
      <c r="D54" s="108"/>
      <c r="E54" s="108"/>
      <c r="F54" s="108"/>
      <c r="G54" s="108"/>
      <c r="H54" s="109">
        <f>H52/H50</f>
        <v>0.14399180117858057</v>
      </c>
      <c r="I54" s="109">
        <f t="shared" ref="I54:K54" si="14">I52/I50</f>
        <v>-0.29358526122641276</v>
      </c>
      <c r="J54" s="109">
        <f t="shared" si="14"/>
        <v>-1.4181232180488409E-2</v>
      </c>
      <c r="K54" s="109">
        <f t="shared" si="14"/>
        <v>0.13171846879712049</v>
      </c>
    </row>
    <row r="55" spans="2:11" ht="15" thickTop="1" x14ac:dyDescent="0.3">
      <c r="B55" s="90"/>
      <c r="C55" s="90"/>
      <c r="D55" s="90"/>
      <c r="E55" s="90"/>
      <c r="F55" s="90"/>
      <c r="G55" s="90"/>
      <c r="H55" s="110"/>
      <c r="I55" s="110"/>
      <c r="J55" s="110"/>
      <c r="K55" s="110"/>
    </row>
    <row r="56" spans="2:11" x14ac:dyDescent="0.3">
      <c r="B56" s="90"/>
      <c r="C56" s="90"/>
      <c r="D56" s="90"/>
      <c r="E56" s="90"/>
      <c r="F56" s="90"/>
      <c r="G56" s="90"/>
      <c r="H56" s="90"/>
      <c r="I56" s="90"/>
      <c r="J56" s="111" t="s">
        <v>240</v>
      </c>
      <c r="K56" s="112">
        <f>AVERAGE(H54:K54)</f>
        <v>-8.0140558578000315E-3</v>
      </c>
    </row>
    <row r="57" spans="2:11" x14ac:dyDescent="0.3">
      <c r="B57" s="90"/>
      <c r="C57" s="90"/>
      <c r="D57" s="90"/>
      <c r="E57" s="90"/>
      <c r="F57" s="90"/>
      <c r="G57" s="90"/>
      <c r="H57" s="90"/>
      <c r="I57" s="90"/>
      <c r="J57" s="113" t="s">
        <v>241</v>
      </c>
      <c r="K57" s="114">
        <f>MEDIAN(H54:K54)</f>
        <v>5.8768618308316041E-2</v>
      </c>
    </row>
    <row r="58" spans="2:11" x14ac:dyDescent="0.3">
      <c r="B58" s="90"/>
      <c r="C58" s="90"/>
      <c r="D58" s="90"/>
      <c r="E58" s="90"/>
      <c r="F58" s="90"/>
      <c r="G58" s="90"/>
      <c r="H58" s="90"/>
      <c r="I58" s="90"/>
      <c r="J58" s="90"/>
      <c r="K58" s="90"/>
    </row>
    <row r="59" spans="2:11" x14ac:dyDescent="0.3">
      <c r="B59" s="87" t="s">
        <v>242</v>
      </c>
      <c r="C59" s="87"/>
      <c r="D59" s="87"/>
      <c r="E59" s="87"/>
      <c r="F59" s="87"/>
      <c r="G59" s="88">
        <f>G43</f>
        <v>44626</v>
      </c>
      <c r="H59" s="88">
        <f t="shared" ref="H59:K59" si="15">H43</f>
        <v>44992</v>
      </c>
      <c r="I59" s="88">
        <f t="shared" si="15"/>
        <v>45358</v>
      </c>
      <c r="J59" s="88">
        <f t="shared" si="15"/>
        <v>45724</v>
      </c>
      <c r="K59" s="88">
        <f t="shared" si="15"/>
        <v>46090</v>
      </c>
    </row>
    <row r="60" spans="2:1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</row>
    <row r="61" spans="2:11" x14ac:dyDescent="0.3">
      <c r="B61" s="103" t="s">
        <v>239</v>
      </c>
      <c r="C61" s="103"/>
      <c r="D61" s="103"/>
      <c r="E61" s="103"/>
      <c r="F61" s="103"/>
      <c r="G61" s="103"/>
      <c r="H61" s="115">
        <f>H54</f>
        <v>0.14399180117858057</v>
      </c>
      <c r="I61" s="115">
        <f t="shared" ref="I61:K61" si="16">I54</f>
        <v>-0.29358526122641276</v>
      </c>
      <c r="J61" s="115">
        <f t="shared" si="16"/>
        <v>-1.4181232180488409E-2</v>
      </c>
      <c r="K61" s="115">
        <f t="shared" si="16"/>
        <v>0.13171846879712049</v>
      </c>
    </row>
    <row r="62" spans="2:11" x14ac:dyDescent="0.3">
      <c r="B62" s="103" t="s">
        <v>234</v>
      </c>
      <c r="C62" s="103"/>
      <c r="D62" s="103"/>
      <c r="E62" s="103"/>
      <c r="F62" s="103"/>
      <c r="G62" s="103"/>
      <c r="H62" s="115">
        <f>H40</f>
        <v>0.22666031731282957</v>
      </c>
      <c r="I62" s="115">
        <f t="shared" ref="I62:K62" si="17">I40</f>
        <v>0.25397375182628845</v>
      </c>
      <c r="J62" s="115">
        <f t="shared" si="17"/>
        <v>0.25932902993519186</v>
      </c>
      <c r="K62" s="115">
        <f t="shared" si="17"/>
        <v>0.24475582751970285</v>
      </c>
    </row>
    <row r="63" spans="2:11" x14ac:dyDescent="0.3">
      <c r="B63" s="90"/>
      <c r="C63" s="90"/>
      <c r="D63" s="90"/>
      <c r="E63" s="90"/>
      <c r="F63" s="90"/>
      <c r="G63" s="90"/>
      <c r="H63" s="90"/>
      <c r="I63" s="90"/>
      <c r="J63" s="90"/>
      <c r="K63" s="90"/>
    </row>
    <row r="64" spans="2:11" ht="15" thickBot="1" x14ac:dyDescent="0.35">
      <c r="B64" s="108" t="s">
        <v>243</v>
      </c>
      <c r="C64" s="108"/>
      <c r="D64" s="108"/>
      <c r="E64" s="108"/>
      <c r="F64" s="108"/>
      <c r="G64" s="108"/>
      <c r="H64" s="116">
        <f>H61*H62</f>
        <v>3.2637227345582935E-2</v>
      </c>
      <c r="I64" s="116">
        <f t="shared" ref="I64:K64" si="18">I61*I62</f>
        <v>-7.456295027457302E-2</v>
      </c>
      <c r="J64" s="116">
        <f t="shared" si="18"/>
        <v>-3.6776051846517848E-3</v>
      </c>
      <c r="K64" s="116">
        <f t="shared" si="18"/>
        <v>3.2238862830067383E-2</v>
      </c>
    </row>
    <row r="65" spans="2:11" ht="15" thickTop="1" x14ac:dyDescent="0.3">
      <c r="B65" s="90"/>
      <c r="C65" s="90"/>
      <c r="D65" s="90"/>
      <c r="E65" s="90"/>
      <c r="F65" s="90"/>
      <c r="G65" s="90"/>
      <c r="H65" s="90"/>
      <c r="I65" s="90"/>
      <c r="J65" s="90"/>
      <c r="K65" s="90"/>
    </row>
    <row r="66" spans="2:11" x14ac:dyDescent="0.3">
      <c r="B66" s="90"/>
      <c r="C66" s="90"/>
      <c r="D66" s="90"/>
      <c r="E66" s="90"/>
      <c r="F66" s="90"/>
      <c r="G66" s="90"/>
      <c r="H66" s="90"/>
      <c r="I66" s="90"/>
      <c r="J66" s="111" t="s">
        <v>240</v>
      </c>
      <c r="K66" s="112">
        <f>AVERAGE(H64:K64)</f>
        <v>-3.3411163208936223E-3</v>
      </c>
    </row>
    <row r="67" spans="2:11" x14ac:dyDescent="0.3">
      <c r="B67" s="90"/>
      <c r="C67" s="90"/>
      <c r="D67" s="90"/>
      <c r="E67" s="90"/>
      <c r="F67" s="90"/>
      <c r="G67" s="90"/>
      <c r="H67" s="90"/>
      <c r="I67" s="90"/>
      <c r="J67" s="113" t="s">
        <v>241</v>
      </c>
      <c r="K67" s="114">
        <f>MEDIAN(H64:K64)</f>
        <v>1.4280628822707801E-2</v>
      </c>
    </row>
  </sheetData>
  <pageMargins left="1" right="1" top="1" bottom="1" header="0.5" footer="0.5"/>
  <pageSetup paperSize="9" scale="71" orientation="portrait" r:id="rId1"/>
  <ignoredErrors>
    <ignoredError sqref="G45 H45:K4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C5FF-E616-45C8-A26F-822EA18C17D7}">
  <sheetPr>
    <pageSetUpPr fitToPage="1"/>
  </sheetPr>
  <dimension ref="B2:Q16"/>
  <sheetViews>
    <sheetView showGridLines="0" workbookViewId="0">
      <selection sqref="A1:J26"/>
    </sheetView>
  </sheetViews>
  <sheetFormatPr defaultRowHeight="14.4" x14ac:dyDescent="0.3"/>
  <cols>
    <col min="1" max="1" width="1.88671875" customWidth="1"/>
  </cols>
  <sheetData>
    <row r="2" spans="2:17" x14ac:dyDescent="0.3">
      <c r="K2" s="249"/>
      <c r="L2" s="249"/>
      <c r="M2" s="249"/>
      <c r="N2" s="249"/>
      <c r="O2" s="249"/>
      <c r="P2" s="249"/>
      <c r="Q2" s="249"/>
    </row>
    <row r="3" spans="2:17" x14ac:dyDescent="0.3">
      <c r="B3" s="258" t="s">
        <v>398</v>
      </c>
      <c r="C3" s="258"/>
      <c r="D3" s="258"/>
      <c r="E3" s="258"/>
      <c r="F3" s="258"/>
      <c r="G3" s="258"/>
      <c r="H3" s="258"/>
      <c r="I3" s="258"/>
      <c r="J3" s="258"/>
      <c r="K3" s="249"/>
      <c r="L3" s="74" t="s">
        <v>397</v>
      </c>
      <c r="M3" s="74"/>
      <c r="N3" s="74"/>
      <c r="O3" s="74"/>
      <c r="P3" s="74"/>
      <c r="Q3" s="74"/>
    </row>
    <row r="4" spans="2:17" x14ac:dyDescent="0.3">
      <c r="K4" s="249"/>
      <c r="L4" s="74"/>
      <c r="M4" s="216" t="s">
        <v>395</v>
      </c>
      <c r="N4" s="216" t="s">
        <v>383</v>
      </c>
      <c r="O4" s="216" t="s">
        <v>396</v>
      </c>
      <c r="P4" s="216" t="s">
        <v>379</v>
      </c>
      <c r="Q4" s="74"/>
    </row>
    <row r="5" spans="2:17" x14ac:dyDescent="0.3">
      <c r="K5" s="249"/>
      <c r="L5" s="74" t="s">
        <v>390</v>
      </c>
      <c r="M5" s="74">
        <v>2021.3</v>
      </c>
      <c r="N5" s="74">
        <v>2021.3</v>
      </c>
      <c r="O5" s="74">
        <v>3434.9</v>
      </c>
      <c r="P5" s="74">
        <v>3434.9</v>
      </c>
      <c r="Q5" s="74"/>
    </row>
    <row r="6" spans="2:17" x14ac:dyDescent="0.3">
      <c r="K6" s="249"/>
      <c r="L6" s="74" t="s">
        <v>391</v>
      </c>
      <c r="M6" s="74">
        <v>578.6</v>
      </c>
      <c r="N6" s="74">
        <v>578.6</v>
      </c>
      <c r="O6" s="74">
        <v>733.8</v>
      </c>
      <c r="P6" s="74">
        <v>733.8</v>
      </c>
      <c r="Q6" s="74"/>
    </row>
    <row r="7" spans="2:17" x14ac:dyDescent="0.3">
      <c r="K7" s="249"/>
      <c r="L7" s="74" t="s">
        <v>392</v>
      </c>
      <c r="M7" s="74">
        <v>637.79999999999995</v>
      </c>
      <c r="N7" s="74">
        <v>637.79999999999995</v>
      </c>
      <c r="O7" s="74">
        <v>853.4</v>
      </c>
      <c r="P7" s="74">
        <v>853.4</v>
      </c>
      <c r="Q7" s="74"/>
    </row>
    <row r="8" spans="2:17" x14ac:dyDescent="0.3">
      <c r="K8" s="249"/>
      <c r="L8" s="74" t="s">
        <v>393</v>
      </c>
      <c r="M8" s="74">
        <v>708.2</v>
      </c>
      <c r="N8" s="74">
        <v>708.2</v>
      </c>
      <c r="O8" s="74">
        <v>1015.2</v>
      </c>
      <c r="P8" s="74">
        <v>1015.2</v>
      </c>
      <c r="Q8" s="74"/>
    </row>
    <row r="9" spans="2:17" x14ac:dyDescent="0.3">
      <c r="K9" s="249"/>
      <c r="L9" s="74" t="s">
        <v>394</v>
      </c>
      <c r="M9" s="74">
        <v>2022.5</v>
      </c>
      <c r="N9" s="74">
        <v>2022.5</v>
      </c>
      <c r="O9" s="74">
        <v>2750</v>
      </c>
      <c r="P9" s="74">
        <v>2750</v>
      </c>
      <c r="Q9" s="74"/>
    </row>
    <row r="10" spans="2:17" x14ac:dyDescent="0.3">
      <c r="K10" s="249"/>
      <c r="L10" s="249"/>
      <c r="M10" s="249"/>
      <c r="N10" s="249"/>
      <c r="O10" s="249"/>
      <c r="P10" s="249"/>
      <c r="Q10" s="249"/>
    </row>
    <row r="11" spans="2:17" x14ac:dyDescent="0.3">
      <c r="K11" s="249"/>
      <c r="L11" s="249"/>
      <c r="M11" s="249"/>
      <c r="N11" s="249"/>
      <c r="O11" s="249"/>
      <c r="P11" s="249"/>
      <c r="Q11" s="249"/>
    </row>
    <row r="12" spans="2:17" x14ac:dyDescent="0.3">
      <c r="K12" s="249"/>
      <c r="L12" s="249"/>
      <c r="M12" s="249"/>
      <c r="N12" s="249"/>
      <c r="O12" s="249"/>
      <c r="P12" s="249"/>
      <c r="Q12" s="249"/>
    </row>
    <row r="15" spans="2:17" x14ac:dyDescent="0.3">
      <c r="M15" s="236"/>
      <c r="N15" s="236"/>
    </row>
    <row r="16" spans="2:17" x14ac:dyDescent="0.3">
      <c r="P16" s="236"/>
      <c r="Q16" s="236"/>
    </row>
  </sheetData>
  <mergeCells count="1">
    <mergeCell ref="B3:J3"/>
  </mergeCells>
  <pageMargins left="0.7" right="0.7" top="0.75" bottom="0.75" header="0.3" footer="0.3"/>
  <pageSetup paperSize="9" scale="6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2BE3-5FA0-479C-9FF0-C77407F7ED33}">
  <sheetPr>
    <pageSetUpPr fitToPage="1"/>
  </sheetPr>
  <dimension ref="B2:Q37"/>
  <sheetViews>
    <sheetView showGridLines="0" tabSelected="1" workbookViewId="0">
      <selection activeCell="T19" sqref="T19"/>
    </sheetView>
  </sheetViews>
  <sheetFormatPr defaultRowHeight="14.4" x14ac:dyDescent="0.3"/>
  <cols>
    <col min="1" max="1" width="1.88671875" customWidth="1"/>
    <col min="2" max="2" width="17.109375" customWidth="1"/>
    <col min="3" max="3" width="11.6640625" bestFit="1" customWidth="1"/>
    <col min="4" max="4" width="8.88671875" customWidth="1"/>
    <col min="5" max="5" width="11.44140625" customWidth="1"/>
    <col min="7" max="7" width="11.109375" customWidth="1"/>
    <col min="8" max="8" width="10.88671875" customWidth="1"/>
    <col min="10" max="10" width="1.88671875" customWidth="1"/>
    <col min="13" max="13" width="10.44140625" customWidth="1"/>
    <col min="14" max="14" width="1.88671875" customWidth="1"/>
    <col min="15" max="15" width="11" bestFit="1" customWidth="1"/>
    <col min="16" max="16" width="11.33203125" bestFit="1" customWidth="1"/>
    <col min="17" max="17" width="11.109375" customWidth="1"/>
  </cols>
  <sheetData>
    <row r="2" spans="2:17" x14ac:dyDescent="0.3">
      <c r="B2" s="215" t="s">
        <v>389</v>
      </c>
    </row>
    <row r="3" spans="2:17" x14ac:dyDescent="0.3">
      <c r="B3" s="211" t="s">
        <v>337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</row>
    <row r="4" spans="2:17" ht="3.6" customHeight="1" x14ac:dyDescent="0.3"/>
    <row r="5" spans="2:17" x14ac:dyDescent="0.3">
      <c r="B5" s="87"/>
      <c r="C5" s="258" t="s">
        <v>344</v>
      </c>
      <c r="D5" s="269"/>
      <c r="E5" s="269"/>
      <c r="F5" s="269"/>
      <c r="G5" s="269"/>
      <c r="H5" s="87"/>
      <c r="I5" s="87"/>
      <c r="J5" s="87"/>
      <c r="K5" s="269" t="s">
        <v>345</v>
      </c>
      <c r="L5" s="269"/>
      <c r="M5" s="269"/>
      <c r="N5" s="87"/>
      <c r="O5" s="269" t="s">
        <v>346</v>
      </c>
      <c r="P5" s="269"/>
      <c r="Q5" s="269"/>
    </row>
    <row r="6" spans="2:17" ht="32.4" customHeight="1" x14ac:dyDescent="0.3">
      <c r="B6" s="87" t="s">
        <v>347</v>
      </c>
      <c r="C6" s="87" t="s">
        <v>348</v>
      </c>
      <c r="D6" s="193" t="s">
        <v>302</v>
      </c>
      <c r="E6" s="193" t="s">
        <v>338</v>
      </c>
      <c r="F6" s="193" t="s">
        <v>339</v>
      </c>
      <c r="G6" s="193" t="s">
        <v>340</v>
      </c>
      <c r="H6" s="194" t="s">
        <v>341</v>
      </c>
      <c r="I6" s="194"/>
      <c r="J6" s="193"/>
      <c r="K6" s="87" t="s">
        <v>342</v>
      </c>
      <c r="L6" s="87" t="s">
        <v>65</v>
      </c>
      <c r="M6" s="87" t="s">
        <v>343</v>
      </c>
      <c r="N6" s="87"/>
      <c r="O6" s="87" t="s">
        <v>376</v>
      </c>
      <c r="P6" s="87" t="s">
        <v>377</v>
      </c>
      <c r="Q6" s="196" t="s">
        <v>378</v>
      </c>
    </row>
    <row r="7" spans="2:17" ht="3.6" customHeight="1" x14ac:dyDescent="0.3">
      <c r="B7" s="9"/>
      <c r="C7" s="9"/>
    </row>
    <row r="8" spans="2:17" ht="3.6" customHeight="1" x14ac:dyDescent="0.3">
      <c r="B8" s="9"/>
      <c r="C8" s="9"/>
    </row>
    <row r="9" spans="2:17" x14ac:dyDescent="0.3">
      <c r="B9" s="197" t="str">
        <f>'Comps Data'!C4</f>
        <v>Hind. Unilever</v>
      </c>
      <c r="C9" s="197" t="s">
        <v>466</v>
      </c>
      <c r="D9" s="204">
        <f>'Comps Data'!D4</f>
        <v>2157.8000000000002</v>
      </c>
      <c r="E9" s="206">
        <f>'Comps Data'!E4</f>
        <v>234.96</v>
      </c>
      <c r="F9" s="204">
        <f>E9*D9</f>
        <v>506996.68800000008</v>
      </c>
      <c r="G9" s="204">
        <f>'Comps Data'!I4</f>
        <v>-1770</v>
      </c>
      <c r="H9" s="204">
        <f>F9+G9</f>
        <v>505226.68800000008</v>
      </c>
      <c r="I9" s="204"/>
      <c r="J9" s="204"/>
      <c r="K9" s="204">
        <f>'Comps Data'!K4</f>
        <v>64468</v>
      </c>
      <c r="L9" s="204">
        <f>'Comps Data'!L4</f>
        <v>15472.32</v>
      </c>
      <c r="M9" s="204">
        <f>'Comps Data'!M4</f>
        <v>15059</v>
      </c>
      <c r="N9" s="198"/>
      <c r="O9" s="199">
        <f>$H9/K9</f>
        <v>7.8368599615313039</v>
      </c>
      <c r="P9" s="199">
        <f>$H9/L9</f>
        <v>32.653583173047096</v>
      </c>
      <c r="Q9" s="199">
        <f>F9/M9</f>
        <v>33.667354273192117</v>
      </c>
    </row>
    <row r="10" spans="2:17" x14ac:dyDescent="0.3">
      <c r="B10" s="200" t="str">
        <f>'Comps Data'!C5</f>
        <v>ITC</v>
      </c>
      <c r="C10" s="200" t="s">
        <v>209</v>
      </c>
      <c r="D10" s="205">
        <f>'Comps Data'!D5</f>
        <v>290.35000000000002</v>
      </c>
      <c r="E10" s="207">
        <f>'Comps Data'!E5</f>
        <v>1252.95</v>
      </c>
      <c r="F10" s="205">
        <f t="shared" ref="F10:F18" si="0">E10*D10</f>
        <v>363794.03250000003</v>
      </c>
      <c r="G10" s="205">
        <f>'Comps Data'!I5</f>
        <v>-609.73</v>
      </c>
      <c r="H10" s="205">
        <f t="shared" ref="H10:H18" si="1">F10+G10</f>
        <v>363184.30250000005</v>
      </c>
      <c r="I10" s="205"/>
      <c r="J10" s="205"/>
      <c r="K10" s="205">
        <f>'Comps Data'!K5</f>
        <v>78868.399999999994</v>
      </c>
      <c r="L10" s="205">
        <f>'Comps Data'!L5</f>
        <v>29969.991999999998</v>
      </c>
      <c r="M10" s="205">
        <f>'Comps Data'!M5</f>
        <v>21018.15</v>
      </c>
      <c r="N10" s="201"/>
      <c r="O10" s="202">
        <f>$H10/K10</f>
        <v>4.604940666984497</v>
      </c>
      <c r="P10" s="202">
        <f t="shared" ref="P10:P18" si="2">$H10/L10</f>
        <v>12.118264913117097</v>
      </c>
      <c r="Q10" s="202">
        <f t="shared" ref="Q10:Q18" si="3">F10/M10</f>
        <v>17.308565810977655</v>
      </c>
    </row>
    <row r="11" spans="2:17" x14ac:dyDescent="0.3">
      <c r="B11" s="200" t="str">
        <f>'Comps Data'!C6</f>
        <v>Nestle India</v>
      </c>
      <c r="C11" s="200" t="s">
        <v>467</v>
      </c>
      <c r="D11" s="205">
        <f>'Comps Data'!D6</f>
        <v>1382.6</v>
      </c>
      <c r="E11" s="207">
        <f>'Comps Data'!E6</f>
        <v>192.83</v>
      </c>
      <c r="F11" s="205">
        <f t="shared" si="0"/>
        <v>266606.75799999997</v>
      </c>
      <c r="G11" s="205">
        <f>'Comps Data'!I6</f>
        <v>-896.70999999999981</v>
      </c>
      <c r="H11" s="205">
        <f t="shared" si="1"/>
        <v>265710.04799999995</v>
      </c>
      <c r="I11" s="205"/>
      <c r="J11" s="205"/>
      <c r="K11" s="205">
        <f>'Comps Data'!K6</f>
        <v>23154.6</v>
      </c>
      <c r="L11" s="205">
        <f>'Comps Data'!L6</f>
        <v>5325.558</v>
      </c>
      <c r="M11" s="205">
        <f>'Comps Data'!M6</f>
        <v>3544.6</v>
      </c>
      <c r="N11" s="201"/>
      <c r="O11" s="202">
        <f t="shared" ref="O11:O18" si="4">$H11/K11</f>
        <v>11.475475629032674</v>
      </c>
      <c r="P11" s="202">
        <f>$H11/L11</f>
        <v>49.893372300142062</v>
      </c>
      <c r="Q11" s="202">
        <f t="shared" si="3"/>
        <v>75.214906618518299</v>
      </c>
    </row>
    <row r="12" spans="2:17" x14ac:dyDescent="0.3">
      <c r="B12" s="200" t="str">
        <f>'Comps Data'!C7</f>
        <v>Varun Beverages</v>
      </c>
      <c r="C12" s="200" t="s">
        <v>468</v>
      </c>
      <c r="D12" s="205">
        <f>'Comps Data'!D7</f>
        <v>506.7</v>
      </c>
      <c r="E12" s="207">
        <f>'Comps Data'!E7</f>
        <v>338.23</v>
      </c>
      <c r="F12" s="205">
        <f t="shared" si="0"/>
        <v>171381.141</v>
      </c>
      <c r="G12" s="205">
        <f>'Comps Data'!I7</f>
        <v>509.68999999999983</v>
      </c>
      <c r="H12" s="205">
        <f t="shared" si="1"/>
        <v>171890.83100000001</v>
      </c>
      <c r="I12" s="205"/>
      <c r="J12" s="205"/>
      <c r="K12" s="205">
        <f>'Comps Data'!K7</f>
        <v>22692.63</v>
      </c>
      <c r="L12" s="205">
        <f>'Comps Data'!L7</f>
        <v>5673.1575000000003</v>
      </c>
      <c r="M12" s="205">
        <f>'Comps Data'!M7</f>
        <v>3209.4</v>
      </c>
      <c r="N12" s="201"/>
      <c r="O12" s="202">
        <f t="shared" si="4"/>
        <v>7.5747425926391081</v>
      </c>
      <c r="P12" s="202">
        <f t="shared" si="2"/>
        <v>30.298970370556432</v>
      </c>
      <c r="Q12" s="202">
        <f t="shared" si="3"/>
        <v>53.399744812114413</v>
      </c>
    </row>
    <row r="13" spans="2:17" x14ac:dyDescent="0.3">
      <c r="B13" s="200" t="str">
        <f>'Comps Data'!C8</f>
        <v>Britannia Inds.</v>
      </c>
      <c r="C13" s="200" t="s">
        <v>469</v>
      </c>
      <c r="D13" s="205">
        <f>'Comps Data'!D8</f>
        <v>5262.5</v>
      </c>
      <c r="E13" s="207">
        <f>'Comps Data'!E8</f>
        <v>24.09</v>
      </c>
      <c r="F13" s="205">
        <f t="shared" si="0"/>
        <v>126773.625</v>
      </c>
      <c r="G13" s="205">
        <f>'Comps Data'!I8</f>
        <v>1027.8399999999999</v>
      </c>
      <c r="H13" s="205">
        <f t="shared" si="1"/>
        <v>127801.465</v>
      </c>
      <c r="I13" s="205"/>
      <c r="J13" s="205"/>
      <c r="K13" s="205">
        <f>'Comps Data'!K8</f>
        <v>19151.59</v>
      </c>
      <c r="L13" s="205">
        <f>'Comps Data'!L8</f>
        <v>3830.3180000000002</v>
      </c>
      <c r="M13" s="205">
        <f>'Comps Data'!M8</f>
        <v>2537.0100000000002</v>
      </c>
      <c r="N13" s="201"/>
      <c r="O13" s="202">
        <f t="shared" si="4"/>
        <v>6.673151680878715</v>
      </c>
      <c r="P13" s="202">
        <f t="shared" si="2"/>
        <v>33.365758404393574</v>
      </c>
      <c r="Q13" s="202">
        <f t="shared" si="3"/>
        <v>49.969698582189267</v>
      </c>
    </row>
    <row r="14" spans="2:17" x14ac:dyDescent="0.3">
      <c r="B14" s="200" t="str">
        <f>'Comps Data'!C9</f>
        <v>Tata Consumer</v>
      </c>
      <c r="C14" s="200" t="s">
        <v>471</v>
      </c>
      <c r="D14" s="205">
        <f>'Comps Data'!D9</f>
        <v>1098.0999999999999</v>
      </c>
      <c r="E14" s="207">
        <f>'Comps Data'!E9</f>
        <v>98.96</v>
      </c>
      <c r="F14" s="205">
        <f t="shared" si="0"/>
        <v>108667.97599999998</v>
      </c>
      <c r="G14" s="205">
        <f>'Comps Data'!I9</f>
        <v>-600.97999999999956</v>
      </c>
      <c r="H14" s="205">
        <f t="shared" si="1"/>
        <v>108066.99599999998</v>
      </c>
      <c r="I14" s="205"/>
      <c r="J14" s="205"/>
      <c r="K14" s="205">
        <f>'Comps Data'!K9</f>
        <v>20290.43</v>
      </c>
      <c r="L14" s="205">
        <f>'Comps Data'!L9</f>
        <v>2840.6602000000003</v>
      </c>
      <c r="M14" s="205">
        <f>'Comps Data'!M9</f>
        <v>1546.8</v>
      </c>
      <c r="N14" s="201"/>
      <c r="O14" s="202">
        <f t="shared" si="4"/>
        <v>5.3260081723255732</v>
      </c>
      <c r="P14" s="202">
        <f t="shared" si="2"/>
        <v>38.042915516611238</v>
      </c>
      <c r="Q14" s="202">
        <f t="shared" si="3"/>
        <v>70.253410912852331</v>
      </c>
    </row>
    <row r="15" spans="2:17" x14ac:dyDescent="0.3">
      <c r="B15" s="200" t="str">
        <f>'Comps Data'!C10</f>
        <v>Marico</v>
      </c>
      <c r="C15" s="200" t="s">
        <v>470</v>
      </c>
      <c r="D15" s="205">
        <f>'Comps Data'!D10</f>
        <v>819.45</v>
      </c>
      <c r="E15" s="207">
        <f>'Comps Data'!E10</f>
        <v>129.84</v>
      </c>
      <c r="F15" s="205">
        <f t="shared" si="0"/>
        <v>106397.38800000001</v>
      </c>
      <c r="G15" s="205">
        <f>'Comps Data'!I10</f>
        <v>64</v>
      </c>
      <c r="H15" s="205">
        <f t="shared" si="1"/>
        <v>106461.38800000001</v>
      </c>
      <c r="I15" s="205"/>
      <c r="J15" s="205"/>
      <c r="K15" s="205">
        <f>'Comps Data'!K10</f>
        <v>13611</v>
      </c>
      <c r="L15" s="205">
        <f>'Comps Data'!L10</f>
        <v>2586.09</v>
      </c>
      <c r="M15" s="205">
        <f>'Comps Data'!M10</f>
        <v>1813</v>
      </c>
      <c r="N15" s="201"/>
      <c r="O15" s="202">
        <f t="shared" si="4"/>
        <v>7.8217168466681368</v>
      </c>
      <c r="P15" s="202">
        <f t="shared" si="2"/>
        <v>41.166930771937558</v>
      </c>
      <c r="Q15" s="202">
        <f t="shared" si="3"/>
        <v>58.685817981246558</v>
      </c>
    </row>
    <row r="16" spans="2:17" x14ac:dyDescent="0.3">
      <c r="B16" s="200" t="str">
        <f>'Comps Data'!C11</f>
        <v>Godrej Consumer</v>
      </c>
      <c r="C16" s="200" t="s">
        <v>472</v>
      </c>
      <c r="D16" s="205">
        <f>'Comps Data'!D11</f>
        <v>1020.5</v>
      </c>
      <c r="E16" s="207">
        <f>'Comps Data'!E11</f>
        <v>102.32</v>
      </c>
      <c r="F16" s="205">
        <f t="shared" si="0"/>
        <v>104417.56</v>
      </c>
      <c r="G16" s="205">
        <f>'Comps Data'!I11</f>
        <v>3410.4000000000005</v>
      </c>
      <c r="H16" s="205">
        <f t="shared" si="1"/>
        <v>107827.95999999999</v>
      </c>
      <c r="I16" s="205"/>
      <c r="J16" s="205"/>
      <c r="K16" s="205">
        <f>'Comps Data'!K11</f>
        <v>15177.9</v>
      </c>
      <c r="L16" s="205">
        <f>'Comps Data'!L11</f>
        <v>3490.9169999999999</v>
      </c>
      <c r="M16" s="205">
        <f>'Comps Data'!M11</f>
        <v>1861.47</v>
      </c>
      <c r="N16" s="201"/>
      <c r="O16" s="202">
        <f t="shared" si="4"/>
        <v>7.1042739772959367</v>
      </c>
      <c r="P16" s="202">
        <f t="shared" si="2"/>
        <v>30.888147727373639</v>
      </c>
      <c r="Q16" s="202">
        <f t="shared" si="3"/>
        <v>56.094140652280188</v>
      </c>
    </row>
    <row r="17" spans="2:17" x14ac:dyDescent="0.3">
      <c r="B17" s="200" t="str">
        <f>'Comps Data'!C12</f>
        <v>United Spirits</v>
      </c>
      <c r="C17" s="200" t="s">
        <v>473</v>
      </c>
      <c r="D17" s="205">
        <f>'Comps Data'!D12</f>
        <v>1359.1</v>
      </c>
      <c r="E17" s="207">
        <f>'Comps Data'!E12</f>
        <v>72.739999999999995</v>
      </c>
      <c r="F17" s="205">
        <f t="shared" si="0"/>
        <v>98860.933999999979</v>
      </c>
      <c r="G17" s="205">
        <f>'Comps Data'!I12</f>
        <v>-1564</v>
      </c>
      <c r="H17" s="205">
        <f t="shared" si="1"/>
        <v>97296.933999999979</v>
      </c>
      <c r="I17" s="205"/>
      <c r="J17" s="205"/>
      <c r="K17" s="205">
        <f>'Comps Data'!K12</f>
        <v>12467</v>
      </c>
      <c r="L17" s="205">
        <f>'Comps Data'!L12</f>
        <v>2742.7400000000002</v>
      </c>
      <c r="M17" s="205">
        <f>'Comps Data'!M12</f>
        <v>1838</v>
      </c>
      <c r="N17" s="201"/>
      <c r="O17" s="202">
        <f t="shared" si="4"/>
        <v>7.8043582257158883</v>
      </c>
      <c r="P17" s="202">
        <f t="shared" si="2"/>
        <v>35.474355571435851</v>
      </c>
      <c r="Q17" s="202">
        <f t="shared" si="3"/>
        <v>53.787232861806302</v>
      </c>
    </row>
    <row r="18" spans="2:17" x14ac:dyDescent="0.3">
      <c r="B18" s="200" t="str">
        <f>'Comps Data'!C13</f>
        <v>Dabur India</v>
      </c>
      <c r="C18" s="200" t="s">
        <v>474</v>
      </c>
      <c r="D18" s="205">
        <f>'Comps Data'!D13</f>
        <v>424.1</v>
      </c>
      <c r="E18" s="207">
        <f>'Comps Data'!E13</f>
        <v>177.4</v>
      </c>
      <c r="F18" s="205">
        <f t="shared" si="0"/>
        <v>75235.340000000011</v>
      </c>
      <c r="G18" s="205">
        <f>'Comps Data'!I13</f>
        <v>725.24999999999989</v>
      </c>
      <c r="H18" s="205">
        <f t="shared" si="1"/>
        <v>75960.590000000011</v>
      </c>
      <c r="I18" s="205"/>
      <c r="J18" s="205"/>
      <c r="K18" s="205">
        <f>'Comps Data'!K13</f>
        <v>13192.57</v>
      </c>
      <c r="L18" s="205">
        <f>'Comps Data'!L13</f>
        <v>3034.2910999999999</v>
      </c>
      <c r="M18" s="205">
        <f>'Comps Data'!M13</f>
        <v>1868.69</v>
      </c>
      <c r="N18" s="201"/>
      <c r="O18" s="202">
        <f t="shared" si="4"/>
        <v>5.7578311125125747</v>
      </c>
      <c r="P18" s="202">
        <f t="shared" si="2"/>
        <v>25.034048315272063</v>
      </c>
      <c r="Q18" s="202">
        <f t="shared" si="3"/>
        <v>40.261006373448787</v>
      </c>
    </row>
    <row r="19" spans="2:17" ht="4.2" customHeight="1" x14ac:dyDescent="0.3"/>
    <row r="20" spans="2:17" x14ac:dyDescent="0.3">
      <c r="B20" s="198" t="s">
        <v>379</v>
      </c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9">
        <f>MAX(O9:O18)</f>
        <v>11.475475629032674</v>
      </c>
      <c r="P20" s="199">
        <f t="shared" ref="P20:Q20" si="5">MAX(P9:P18)</f>
        <v>49.893372300142062</v>
      </c>
      <c r="Q20" s="199">
        <f t="shared" si="5"/>
        <v>75.214906618518299</v>
      </c>
    </row>
    <row r="21" spans="2:17" x14ac:dyDescent="0.3">
      <c r="B21" s="198" t="s">
        <v>380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9">
        <f>QUARTILE(O9:O18,3)</f>
        <v>7.8173771914300749</v>
      </c>
      <c r="P21" s="199">
        <f t="shared" ref="P21:Q21" si="6">QUARTILE(P9:P18,3)</f>
        <v>37.400775530317389</v>
      </c>
      <c r="Q21" s="199">
        <f t="shared" si="6"/>
        <v>58.037898649004966</v>
      </c>
    </row>
    <row r="22" spans="2:17" x14ac:dyDescent="0.3">
      <c r="B22" s="209" t="s">
        <v>381</v>
      </c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10">
        <f>AVERAGE(O9:O18)</f>
        <v>7.197935886558442</v>
      </c>
      <c r="P22" s="210">
        <f t="shared" ref="P22:Q22" si="7">AVERAGE(P9:P18)</f>
        <v>32.89363470638866</v>
      </c>
      <c r="Q22" s="210">
        <f t="shared" si="7"/>
        <v>50.864187887862599</v>
      </c>
    </row>
    <row r="23" spans="2:17" x14ac:dyDescent="0.3">
      <c r="B23" s="209" t="s">
        <v>135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10">
        <f>MEDIAN(O9:O18)</f>
        <v>7.3395082849675219</v>
      </c>
      <c r="P23" s="210">
        <f t="shared" ref="P23:Q23" si="8">MEDIAN(P9:P18)</f>
        <v>33.009670788720335</v>
      </c>
      <c r="Q23" s="210">
        <f t="shared" si="8"/>
        <v>53.593488836960361</v>
      </c>
    </row>
    <row r="24" spans="2:17" x14ac:dyDescent="0.3">
      <c r="B24" s="198" t="s">
        <v>382</v>
      </c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9">
        <f>QUARTILE(O9:O18,1)</f>
        <v>5.98666125460411</v>
      </c>
      <c r="P24" s="199">
        <f t="shared" ref="P24:Q24" si="9">QUARTILE(P9:P18,1)</f>
        <v>30.446264709760733</v>
      </c>
      <c r="Q24" s="199">
        <f t="shared" si="9"/>
        <v>42.688179425633905</v>
      </c>
    </row>
    <row r="25" spans="2:17" x14ac:dyDescent="0.3">
      <c r="B25" s="198" t="s">
        <v>383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9">
        <f>MIN(O9:O18)</f>
        <v>4.604940666984497</v>
      </c>
      <c r="P25" s="199">
        <f t="shared" ref="P25:Q25" si="10">MIN(P9:P18)</f>
        <v>12.118264913117097</v>
      </c>
      <c r="Q25" s="199">
        <f t="shared" si="10"/>
        <v>17.308565810977655</v>
      </c>
    </row>
    <row r="27" spans="2:17" x14ac:dyDescent="0.3">
      <c r="B27" s="203" t="s">
        <v>384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 t="s">
        <v>376</v>
      </c>
      <c r="P27" s="87" t="s">
        <v>377</v>
      </c>
      <c r="Q27" s="196" t="s">
        <v>378</v>
      </c>
    </row>
    <row r="28" spans="2:17" ht="3.6" customHeight="1" x14ac:dyDescent="0.3"/>
    <row r="29" spans="2:17" x14ac:dyDescent="0.3">
      <c r="B29" s="201" t="s">
        <v>385</v>
      </c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5">
        <f>O$23*K9</f>
        <v>473163.42011528619</v>
      </c>
      <c r="P29" s="205">
        <f>P$23*L9</f>
        <v>510736.18953773339</v>
      </c>
      <c r="Q29" s="205">
        <f>Q30+Q31</f>
        <v>805294.34839578613</v>
      </c>
    </row>
    <row r="30" spans="2:17" x14ac:dyDescent="0.3">
      <c r="B30" s="201" t="s">
        <v>340</v>
      </c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5">
        <f>$G$9</f>
        <v>-1770</v>
      </c>
      <c r="P30" s="205">
        <f>$G$9</f>
        <v>-1770</v>
      </c>
      <c r="Q30" s="205">
        <f>$G$9</f>
        <v>-1770</v>
      </c>
    </row>
    <row r="31" spans="2:17" x14ac:dyDescent="0.3">
      <c r="B31" s="201" t="s">
        <v>386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5">
        <f>O29-O30</f>
        <v>474933.42011528619</v>
      </c>
      <c r="P31" s="205">
        <f t="shared" ref="P31" si="11">P29-P30</f>
        <v>512506.18953773339</v>
      </c>
      <c r="Q31" s="205">
        <f>Q23*M9</f>
        <v>807064.34839578613</v>
      </c>
    </row>
    <row r="32" spans="2:17" x14ac:dyDescent="0.3">
      <c r="B32" t="s">
        <v>338</v>
      </c>
      <c r="O32" s="208">
        <f>$E$9</f>
        <v>234.96</v>
      </c>
      <c r="P32" s="208">
        <f t="shared" ref="P32:Q32" si="12">$E$9</f>
        <v>234.96</v>
      </c>
      <c r="Q32" s="208">
        <f t="shared" si="12"/>
        <v>234.96</v>
      </c>
    </row>
    <row r="33" spans="2:17" ht="4.2" customHeight="1" x14ac:dyDescent="0.3">
      <c r="O33" s="208"/>
      <c r="P33" s="208"/>
      <c r="Q33" s="208"/>
    </row>
    <row r="34" spans="2:17" ht="15" thickBot="1" x14ac:dyDescent="0.35">
      <c r="B34" s="213" t="s">
        <v>387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4">
        <f>O31/O32</f>
        <v>2021.3373345049633</v>
      </c>
      <c r="P34" s="214">
        <f t="shared" ref="P34" si="13">P31/P32</f>
        <v>2181.2486786590625</v>
      </c>
      <c r="Q34" s="214">
        <f>Q31/Q32</f>
        <v>3434.9010401591167</v>
      </c>
    </row>
    <row r="35" spans="2:17" ht="3.6" customHeight="1" x14ac:dyDescent="0.3"/>
    <row r="36" spans="2:17" x14ac:dyDescent="0.3">
      <c r="B36" s="215" t="s">
        <v>388</v>
      </c>
    </row>
    <row r="37" spans="2:17" x14ac:dyDescent="0.3">
      <c r="O37" t="str">
        <f>IF(O34&gt;$D$9,"Undervalued","Overvalued")</f>
        <v>Overvalued</v>
      </c>
      <c r="P37" t="str">
        <f t="shared" ref="P37:Q37" si="14">IF(P34&gt;$D$9,"Undervalued","Overvalued")</f>
        <v>Undervalued</v>
      </c>
      <c r="Q37" t="str">
        <f t="shared" si="14"/>
        <v>Undervalued</v>
      </c>
    </row>
  </sheetData>
  <mergeCells count="3">
    <mergeCell ref="C5:G5"/>
    <mergeCell ref="K5:M5"/>
    <mergeCell ref="O5:Q5"/>
  </mergeCells>
  <pageMargins left="0.25" right="0.25" top="0.75" bottom="0.75" header="0.3" footer="0.3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F949-A91D-4192-B63E-22585D880CAE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D1DB-F334-427A-9C2C-459938A5CB46}">
  <sheetPr>
    <pageSetUpPr fitToPage="1"/>
  </sheetPr>
  <dimension ref="B2:BG119"/>
  <sheetViews>
    <sheetView showGridLines="0" topLeftCell="A2" workbookViewId="0">
      <selection activeCell="N18" sqref="N18"/>
    </sheetView>
  </sheetViews>
  <sheetFormatPr defaultRowHeight="14.4" x14ac:dyDescent="0.3"/>
  <cols>
    <col min="1" max="1" width="1.88671875" customWidth="1"/>
    <col min="2" max="2" width="13.44140625" customWidth="1"/>
    <col min="3" max="3" width="12.21875" customWidth="1"/>
    <col min="4" max="4" width="11.44140625" customWidth="1"/>
    <col min="6" max="6" width="11.5546875" bestFit="1" customWidth="1"/>
    <col min="7" max="7" width="6.6640625" bestFit="1" customWidth="1"/>
    <col min="8" max="8" width="11.5546875" bestFit="1" customWidth="1"/>
    <col min="9" max="9" width="18" bestFit="1" customWidth="1"/>
    <col min="10" max="10" width="12.6640625" bestFit="1" customWidth="1"/>
    <col min="11" max="11" width="13.44140625" bestFit="1" customWidth="1"/>
    <col min="12" max="12" width="12.6640625" bestFit="1" customWidth="1"/>
    <col min="13" max="13" width="12" bestFit="1" customWidth="1"/>
    <col min="14" max="14" width="12.6640625" bestFit="1" customWidth="1"/>
    <col min="15" max="15" width="12" bestFit="1" customWidth="1"/>
    <col min="16" max="16" width="12.6640625" bestFit="1" customWidth="1"/>
    <col min="17" max="17" width="12.109375" bestFit="1" customWidth="1"/>
    <col min="19" max="19" width="10.33203125" bestFit="1" customWidth="1"/>
    <col min="20" max="20" width="11.5546875" bestFit="1" customWidth="1"/>
    <col min="21" max="21" width="7.6640625" bestFit="1" customWidth="1"/>
    <col min="23" max="23" width="18" bestFit="1" customWidth="1"/>
    <col min="24" max="24" width="12.6640625" bestFit="1" customWidth="1"/>
    <col min="25" max="25" width="13.44140625" bestFit="1" customWidth="1"/>
    <col min="26" max="27" width="12" bestFit="1" customWidth="1"/>
    <col min="28" max="28" width="12.6640625" bestFit="1" customWidth="1"/>
    <col min="29" max="29" width="12" bestFit="1" customWidth="1"/>
    <col min="30" max="30" width="12.6640625" bestFit="1" customWidth="1"/>
    <col min="31" max="31" width="12.109375" bestFit="1" customWidth="1"/>
    <col min="33" max="33" width="10.33203125" bestFit="1" customWidth="1"/>
    <col min="34" max="34" width="11.5546875" bestFit="1" customWidth="1"/>
    <col min="35" max="35" width="7.6640625" bestFit="1" customWidth="1"/>
    <col min="37" max="37" width="18" bestFit="1" customWidth="1"/>
    <col min="38" max="38" width="12.6640625" bestFit="1" customWidth="1"/>
    <col min="39" max="39" width="13.44140625" bestFit="1" customWidth="1"/>
    <col min="40" max="40" width="12.6640625" bestFit="1" customWidth="1"/>
    <col min="41" max="41" width="12" bestFit="1" customWidth="1"/>
    <col min="42" max="42" width="12.6640625" bestFit="1" customWidth="1"/>
    <col min="43" max="43" width="12" bestFit="1" customWidth="1"/>
    <col min="44" max="44" width="12.6640625" bestFit="1" customWidth="1"/>
    <col min="45" max="45" width="12.109375" bestFit="1" customWidth="1"/>
    <col min="46" max="46" width="9" customWidth="1"/>
    <col min="47" max="47" width="12.21875" customWidth="1"/>
    <col min="48" max="48" width="8.77734375" bestFit="1" customWidth="1"/>
    <col min="49" max="49" width="7.6640625" bestFit="1" customWidth="1"/>
    <col min="50" max="50" width="7.6640625" customWidth="1"/>
    <col min="51" max="51" width="18" bestFit="1" customWidth="1"/>
    <col min="52" max="52" width="12" bestFit="1" customWidth="1"/>
    <col min="53" max="53" width="13.44140625" bestFit="1" customWidth="1"/>
    <col min="54" max="55" width="12" bestFit="1" customWidth="1"/>
    <col min="56" max="56" width="12.6640625" bestFit="1" customWidth="1"/>
    <col min="57" max="57" width="12" bestFit="1" customWidth="1"/>
    <col min="58" max="58" width="12.6640625" bestFit="1" customWidth="1"/>
    <col min="59" max="59" width="12.109375" bestFit="1" customWidth="1"/>
    <col min="60" max="60" width="12" bestFit="1" customWidth="1"/>
    <col min="61" max="61" width="12.6640625" bestFit="1" customWidth="1"/>
    <col min="62" max="62" width="12.109375" bestFit="1" customWidth="1"/>
  </cols>
  <sheetData>
    <row r="2" spans="2:56" x14ac:dyDescent="0.3">
      <c r="B2" s="270" t="s">
        <v>161</v>
      </c>
      <c r="C2" s="270"/>
      <c r="D2" s="270"/>
      <c r="E2" s="75"/>
    </row>
    <row r="4" spans="2:56" x14ac:dyDescent="0.3">
      <c r="B4" s="258" t="str">
        <f>'Data Sheet'!B1&amp;" Weekly Returns"</f>
        <v>HINDUSTAN UNILEVER LTD Weekly Returns</v>
      </c>
      <c r="C4" s="258"/>
      <c r="D4" s="258"/>
      <c r="E4" s="74"/>
      <c r="F4" s="270" t="s">
        <v>163</v>
      </c>
      <c r="G4" s="270"/>
      <c r="I4" s="270" t="s">
        <v>166</v>
      </c>
      <c r="J4" s="270"/>
      <c r="K4" t="s">
        <v>172</v>
      </c>
      <c r="S4" s="258" t="s">
        <v>206</v>
      </c>
      <c r="T4" s="258"/>
      <c r="U4" s="258"/>
      <c r="W4" s="270" t="s">
        <v>166</v>
      </c>
      <c r="X4" s="270"/>
      <c r="AG4" s="258" t="s">
        <v>212</v>
      </c>
      <c r="AH4" s="258"/>
      <c r="AI4" s="258"/>
      <c r="AK4" s="270" t="s">
        <v>166</v>
      </c>
      <c r="AL4" s="270"/>
      <c r="AU4" s="258" t="s">
        <v>214</v>
      </c>
      <c r="AV4" s="258"/>
      <c r="AW4" s="258"/>
      <c r="AX4" s="216"/>
      <c r="AY4" s="270" t="s">
        <v>166</v>
      </c>
      <c r="AZ4" s="270"/>
    </row>
    <row r="5" spans="2:56" x14ac:dyDescent="0.3">
      <c r="I5" s="68"/>
      <c r="J5" s="61"/>
      <c r="W5" s="68"/>
      <c r="X5" s="61"/>
      <c r="AK5" s="68"/>
      <c r="AL5" s="61"/>
      <c r="AY5" s="68"/>
      <c r="AZ5" s="61"/>
    </row>
    <row r="6" spans="2:56" ht="14.4" customHeight="1" x14ac:dyDescent="0.3">
      <c r="B6" s="174" t="s">
        <v>162</v>
      </c>
      <c r="C6" s="63" t="s">
        <v>164</v>
      </c>
      <c r="D6" s="63" t="s">
        <v>165</v>
      </c>
      <c r="E6" s="60"/>
      <c r="F6" s="63" t="s">
        <v>164</v>
      </c>
      <c r="G6" s="63" t="s">
        <v>165</v>
      </c>
      <c r="I6" s="69" t="s">
        <v>167</v>
      </c>
      <c r="J6" s="61">
        <f>M8</f>
        <v>0.56773357797631907</v>
      </c>
      <c r="K6" s="58"/>
      <c r="L6" s="225" t="s">
        <v>173</v>
      </c>
      <c r="M6" s="224">
        <f>SLOPE(D8:D112,G8:G112)</f>
        <v>0.56773357797631918</v>
      </c>
      <c r="N6" s="60"/>
      <c r="O6" s="60"/>
      <c r="Q6" s="60"/>
      <c r="S6" s="176" t="s">
        <v>162</v>
      </c>
      <c r="T6" s="177" t="s">
        <v>164</v>
      </c>
      <c r="U6" s="177" t="s">
        <v>207</v>
      </c>
      <c r="V6" s="60"/>
      <c r="W6" s="69" t="s">
        <v>167</v>
      </c>
      <c r="X6" s="61">
        <f>AA8</f>
        <v>0.58998748353165797</v>
      </c>
      <c r="Y6" s="60"/>
      <c r="Z6" s="225" t="s">
        <v>173</v>
      </c>
      <c r="AA6" s="224">
        <f>SLOPE(U8:U112,G8:G112)</f>
        <v>0.58998748353165853</v>
      </c>
      <c r="AG6" s="176" t="s">
        <v>162</v>
      </c>
      <c r="AH6" s="177" t="s">
        <v>164</v>
      </c>
      <c r="AI6" s="177" t="s">
        <v>165</v>
      </c>
      <c r="AJ6" s="60"/>
      <c r="AK6" s="69" t="s">
        <v>167</v>
      </c>
      <c r="AL6" s="61">
        <f>AO8</f>
        <v>1.1732124877803098</v>
      </c>
      <c r="AM6" s="60"/>
      <c r="AN6" s="225" t="s">
        <v>173</v>
      </c>
      <c r="AO6" s="224">
        <f>SLOPE(AI8:AI112,G8:G112)</f>
        <v>1.1732124877803094</v>
      </c>
      <c r="AU6" s="176" t="s">
        <v>162</v>
      </c>
      <c r="AV6" s="177" t="s">
        <v>213</v>
      </c>
      <c r="AW6" s="177" t="s">
        <v>165</v>
      </c>
      <c r="AX6" s="60"/>
      <c r="AY6" s="69" t="s">
        <v>167</v>
      </c>
      <c r="AZ6" s="61">
        <f>BC8</f>
        <v>0.52697325149286145</v>
      </c>
      <c r="BA6" s="60"/>
      <c r="BB6" s="225" t="s">
        <v>173</v>
      </c>
      <c r="BC6" s="224">
        <f>SLOPE(AW8:AW112,G8:G112)</f>
        <v>0.52697325149286156</v>
      </c>
      <c r="BD6" s="60"/>
    </row>
    <row r="7" spans="2:56" x14ac:dyDescent="0.3">
      <c r="B7" s="175">
        <v>45467</v>
      </c>
      <c r="C7" s="64">
        <v>2376.13</v>
      </c>
      <c r="D7" s="61"/>
      <c r="E7" s="61"/>
      <c r="F7" s="64">
        <v>24010.6</v>
      </c>
      <c r="G7" s="66"/>
      <c r="I7" s="9" t="s">
        <v>168</v>
      </c>
      <c r="J7" s="70">
        <v>0.75</v>
      </c>
      <c r="L7" s="226" t="s">
        <v>174</v>
      </c>
      <c r="M7" s="73">
        <f>_xlfn.COVARIANCE.S(D8:D112,G8:G112)/_xlfn.VAR.S(G8:G112)</f>
        <v>0.56773357797631929</v>
      </c>
      <c r="N7" s="61"/>
      <c r="O7" s="61"/>
      <c r="Q7" s="62"/>
      <c r="S7" s="175">
        <v>45467</v>
      </c>
      <c r="T7" s="64">
        <v>377.11</v>
      </c>
      <c r="U7" s="59"/>
      <c r="V7" s="59"/>
      <c r="W7" s="9" t="s">
        <v>168</v>
      </c>
      <c r="X7" s="70">
        <v>0.75</v>
      </c>
      <c r="Y7" s="62"/>
      <c r="Z7" s="226" t="s">
        <v>174</v>
      </c>
      <c r="AA7" s="73">
        <f>_xlfn.COVARIANCE.S(U8:U112,G8:G112)/_xlfn.VAR.S(G8:G112)</f>
        <v>0.58998748353165853</v>
      </c>
      <c r="AG7" s="175">
        <v>45467</v>
      </c>
      <c r="AH7" s="64">
        <v>647.97</v>
      </c>
      <c r="AI7" s="59"/>
      <c r="AJ7" s="59"/>
      <c r="AK7" s="9" t="s">
        <v>168</v>
      </c>
      <c r="AL7" s="70">
        <v>0.75</v>
      </c>
      <c r="AM7" s="62"/>
      <c r="AN7" s="226" t="s">
        <v>174</v>
      </c>
      <c r="AO7" s="73">
        <f>_xlfn.COVARIANCE.S(AI8:AI112,G8:G112)/_xlfn.VAR.S(G8:G112)</f>
        <v>1.1732124877803094</v>
      </c>
      <c r="AU7" s="175">
        <v>45467</v>
      </c>
      <c r="AV7" s="64">
        <v>5335.28</v>
      </c>
      <c r="AW7" s="61"/>
      <c r="AX7" s="61"/>
      <c r="AY7" s="9" t="s">
        <v>168</v>
      </c>
      <c r="AZ7" s="70">
        <v>0.75</v>
      </c>
      <c r="BA7" s="61"/>
      <c r="BB7" s="226" t="s">
        <v>174</v>
      </c>
      <c r="BC7" s="73">
        <f>_xlfn.COVARIANCE.S(AW8:AW112,G8:G112)/_xlfn.VAR.S(G8:G112)</f>
        <v>0.52697325149286156</v>
      </c>
      <c r="BD7" s="62"/>
    </row>
    <row r="8" spans="2:56" x14ac:dyDescent="0.3">
      <c r="B8" s="175">
        <v>45474</v>
      </c>
      <c r="C8" s="64">
        <v>2447.1799999999998</v>
      </c>
      <c r="D8" s="67">
        <f>C8/C7-1</f>
        <v>2.990156262494037E-2</v>
      </c>
      <c r="E8" s="61"/>
      <c r="F8" s="64">
        <v>24323.85</v>
      </c>
      <c r="G8" s="67">
        <f t="shared" ref="G8:G71" si="0">F8/F7-1</f>
        <v>1.3046321208133094E-2</v>
      </c>
      <c r="I8" s="9"/>
      <c r="J8" s="71"/>
      <c r="L8" s="227" t="s">
        <v>175</v>
      </c>
      <c r="M8" s="228">
        <f>J31</f>
        <v>0.56773357797631907</v>
      </c>
      <c r="N8" s="61"/>
      <c r="O8" s="61"/>
      <c r="Q8" s="62"/>
      <c r="S8" s="175">
        <v>45474</v>
      </c>
      <c r="T8" s="64">
        <v>384.87</v>
      </c>
      <c r="U8" s="67">
        <f t="shared" ref="U8:U71" si="1">T8/T7-1</f>
        <v>2.0577550316883686E-2</v>
      </c>
      <c r="V8" s="59"/>
      <c r="W8" s="9"/>
      <c r="X8" s="71"/>
      <c r="Y8" s="62"/>
      <c r="Z8" s="229" t="s">
        <v>175</v>
      </c>
      <c r="AA8" s="230">
        <f>X31</f>
        <v>0.58998748353165797</v>
      </c>
      <c r="AG8" s="175">
        <v>45474</v>
      </c>
      <c r="AH8" s="64">
        <v>641.87</v>
      </c>
      <c r="AI8" s="67">
        <f t="shared" ref="AI8:AI71" si="2">AH8/AH7-1</f>
        <v>-9.4140160809914608E-3</v>
      </c>
      <c r="AJ8" s="59"/>
      <c r="AK8" s="9"/>
      <c r="AL8" s="71"/>
      <c r="AM8" s="62"/>
      <c r="AN8" s="229" t="s">
        <v>175</v>
      </c>
      <c r="AO8" s="230">
        <f>AL31</f>
        <v>1.1732124877803098</v>
      </c>
      <c r="AU8" s="175">
        <v>45474</v>
      </c>
      <c r="AV8" s="64">
        <v>5404.7</v>
      </c>
      <c r="AW8" s="67">
        <f>AV8/AV7-1</f>
        <v>1.3011500802207143E-2</v>
      </c>
      <c r="AX8" s="67"/>
      <c r="AY8" s="9"/>
      <c r="AZ8" s="71"/>
      <c r="BA8" s="61"/>
      <c r="BB8" s="229" t="s">
        <v>175</v>
      </c>
      <c r="BC8" s="230">
        <f>AZ31</f>
        <v>0.52697325149286145</v>
      </c>
      <c r="BD8" s="62"/>
    </row>
    <row r="9" spans="2:56" x14ac:dyDescent="0.3">
      <c r="B9" s="175">
        <v>45481</v>
      </c>
      <c r="C9" s="64">
        <v>2519.48</v>
      </c>
      <c r="D9" s="67">
        <f t="shared" ref="D9:D72" si="3">C9/C8-1</f>
        <v>2.9544210070366894E-2</v>
      </c>
      <c r="E9" s="61"/>
      <c r="F9" s="64">
        <v>24502.15</v>
      </c>
      <c r="G9" s="67">
        <f t="shared" si="0"/>
        <v>7.3302540510651326E-3</v>
      </c>
      <c r="I9" s="9" t="s">
        <v>169</v>
      </c>
      <c r="J9" s="71">
        <v>1</v>
      </c>
      <c r="N9" s="61"/>
      <c r="O9" s="61"/>
      <c r="Q9" s="62"/>
      <c r="S9" s="175">
        <v>45481</v>
      </c>
      <c r="T9" s="64">
        <v>407.41</v>
      </c>
      <c r="U9" s="67">
        <f t="shared" si="1"/>
        <v>5.856522981786072E-2</v>
      </c>
      <c r="V9" s="59"/>
      <c r="W9" s="9" t="s">
        <v>169</v>
      </c>
      <c r="X9" s="71">
        <v>1</v>
      </c>
      <c r="Y9" s="62"/>
      <c r="AG9" s="175">
        <v>45481</v>
      </c>
      <c r="AH9" s="64">
        <v>630.08000000000004</v>
      </c>
      <c r="AI9" s="67">
        <f t="shared" si="2"/>
        <v>-1.8368205399847293E-2</v>
      </c>
      <c r="AJ9" s="59"/>
      <c r="AK9" s="9" t="s">
        <v>169</v>
      </c>
      <c r="AL9" s="71">
        <v>1</v>
      </c>
      <c r="AM9" s="62"/>
      <c r="AU9" s="175">
        <v>45481</v>
      </c>
      <c r="AV9" s="64">
        <v>5638.8</v>
      </c>
      <c r="AW9" s="67">
        <f t="shared" ref="AW9:AW72" si="4">AV9/AV8-1</f>
        <v>4.3314152496900959E-2</v>
      </c>
      <c r="AX9" s="67"/>
      <c r="AY9" s="9" t="s">
        <v>169</v>
      </c>
      <c r="AZ9" s="71">
        <v>1</v>
      </c>
      <c r="BA9" s="61"/>
      <c r="BD9" s="62"/>
    </row>
    <row r="10" spans="2:56" x14ac:dyDescent="0.3">
      <c r="B10" s="175">
        <v>45488</v>
      </c>
      <c r="C10" s="64">
        <v>2620.12</v>
      </c>
      <c r="D10" s="67">
        <f t="shared" si="3"/>
        <v>3.9944750504072202E-2</v>
      </c>
      <c r="E10" s="61"/>
      <c r="F10" s="64">
        <v>24530.9</v>
      </c>
      <c r="G10" s="67">
        <f t="shared" si="0"/>
        <v>1.1733664188653403E-3</v>
      </c>
      <c r="I10" s="9" t="s">
        <v>170</v>
      </c>
      <c r="J10" s="70">
        <v>0.25</v>
      </c>
      <c r="M10" s="61"/>
      <c r="N10" s="61"/>
      <c r="O10" s="61"/>
      <c r="Q10" s="62"/>
      <c r="S10" s="175">
        <v>45488</v>
      </c>
      <c r="T10" s="64">
        <v>421.17</v>
      </c>
      <c r="U10" s="67">
        <f t="shared" si="1"/>
        <v>3.3774330526987528E-2</v>
      </c>
      <c r="V10" s="59"/>
      <c r="W10" s="9" t="s">
        <v>170</v>
      </c>
      <c r="X10" s="70">
        <v>0.25</v>
      </c>
      <c r="Y10" s="62"/>
      <c r="AG10" s="175">
        <v>45488</v>
      </c>
      <c r="AH10" s="64">
        <v>620.21</v>
      </c>
      <c r="AI10" s="67">
        <f t="shared" si="2"/>
        <v>-1.5664677501269653E-2</v>
      </c>
      <c r="AJ10" s="59"/>
      <c r="AK10" s="9" t="s">
        <v>170</v>
      </c>
      <c r="AL10" s="70">
        <v>0.25</v>
      </c>
      <c r="AM10" s="62"/>
      <c r="AU10" s="175">
        <v>45488</v>
      </c>
      <c r="AV10" s="64">
        <v>5727.37</v>
      </c>
      <c r="AW10" s="67">
        <f t="shared" si="4"/>
        <v>1.5707242675746524E-2</v>
      </c>
      <c r="AX10" s="67"/>
      <c r="AY10" s="9" t="s">
        <v>170</v>
      </c>
      <c r="AZ10" s="70">
        <v>0.25</v>
      </c>
      <c r="BA10" s="61"/>
      <c r="BB10" s="61"/>
      <c r="BD10" s="62"/>
    </row>
    <row r="11" spans="2:56" x14ac:dyDescent="0.3">
      <c r="B11" s="175">
        <v>45495</v>
      </c>
      <c r="C11" s="64">
        <v>2604.8000000000002</v>
      </c>
      <c r="D11" s="67">
        <f t="shared" si="3"/>
        <v>-5.8470604399797343E-3</v>
      </c>
      <c r="E11" s="61"/>
      <c r="F11" s="64">
        <v>24834.85</v>
      </c>
      <c r="G11" s="67">
        <f t="shared" si="0"/>
        <v>1.2390495252925682E-2</v>
      </c>
      <c r="I11" s="9"/>
      <c r="J11" s="61"/>
      <c r="M11" s="61"/>
      <c r="N11" s="61"/>
      <c r="O11" s="61"/>
      <c r="Q11" s="62"/>
      <c r="S11" s="175">
        <v>45495</v>
      </c>
      <c r="T11" s="64">
        <v>445.71</v>
      </c>
      <c r="U11" s="67">
        <f t="shared" si="1"/>
        <v>5.8266258280504246E-2</v>
      </c>
      <c r="V11" s="59"/>
      <c r="W11" s="9"/>
      <c r="X11" s="61"/>
      <c r="Y11" s="62"/>
      <c r="AG11" s="175">
        <v>45495</v>
      </c>
      <c r="AH11" s="64">
        <v>666.72</v>
      </c>
      <c r="AI11" s="67">
        <f t="shared" si="2"/>
        <v>7.4990728946647156E-2</v>
      </c>
      <c r="AJ11" s="59"/>
      <c r="AK11" s="9"/>
      <c r="AL11" s="61"/>
      <c r="AM11" s="62"/>
      <c r="AU11" s="175">
        <v>45495</v>
      </c>
      <c r="AV11" s="64">
        <v>5722.35</v>
      </c>
      <c r="AW11" s="67">
        <f t="shared" si="4"/>
        <v>-8.7649305003856259E-4</v>
      </c>
      <c r="AX11" s="67"/>
      <c r="AY11" s="9"/>
      <c r="AZ11" s="61"/>
      <c r="BA11" s="61"/>
    </row>
    <row r="12" spans="2:56" x14ac:dyDescent="0.3">
      <c r="B12" s="175">
        <v>45502</v>
      </c>
      <c r="C12" s="64">
        <v>2587.0300000000002</v>
      </c>
      <c r="D12" s="67">
        <f t="shared" si="3"/>
        <v>-6.8220208845208852E-3</v>
      </c>
      <c r="E12" s="61"/>
      <c r="F12" s="64">
        <v>24717.7</v>
      </c>
      <c r="G12" s="67">
        <f t="shared" si="0"/>
        <v>-4.7171615693268887E-3</v>
      </c>
      <c r="I12" s="72" t="s">
        <v>171</v>
      </c>
      <c r="J12" s="73">
        <f>(J6*J7)+(J9*J10)</f>
        <v>0.67580018348223936</v>
      </c>
      <c r="S12" s="175">
        <v>45502</v>
      </c>
      <c r="T12" s="64">
        <v>434.08</v>
      </c>
      <c r="U12" s="67">
        <f t="shared" si="1"/>
        <v>-2.6093199614098839E-2</v>
      </c>
      <c r="V12" s="59"/>
      <c r="W12" s="72" t="s">
        <v>171</v>
      </c>
      <c r="X12" s="73">
        <f>(X6*X7)+(X9*X10)</f>
        <v>0.69249061264874345</v>
      </c>
      <c r="Y12" s="62"/>
      <c r="AG12" s="175">
        <v>45502</v>
      </c>
      <c r="AH12" s="64">
        <v>625.24</v>
      </c>
      <c r="AI12" s="67">
        <f t="shared" si="2"/>
        <v>-6.2215022798176145E-2</v>
      </c>
      <c r="AJ12" s="59"/>
      <c r="AK12" s="72" t="s">
        <v>171</v>
      </c>
      <c r="AL12" s="73">
        <f>(AL6*AL7)+(AL9*AL10)</f>
        <v>1.1299093658352324</v>
      </c>
      <c r="AM12" s="62"/>
      <c r="AU12" s="175">
        <v>45502</v>
      </c>
      <c r="AV12" s="64">
        <v>5573.81</v>
      </c>
      <c r="AW12" s="67">
        <f t="shared" si="4"/>
        <v>-2.5957866960252374E-2</v>
      </c>
      <c r="AX12" s="67"/>
      <c r="AY12" s="72" t="s">
        <v>171</v>
      </c>
      <c r="AZ12" s="73">
        <f>(AZ6*AZ7)+(AZ9*AZ10)</f>
        <v>0.64522993861964606</v>
      </c>
      <c r="BA12" s="61"/>
    </row>
    <row r="13" spans="2:56" x14ac:dyDescent="0.3">
      <c r="B13" s="175">
        <v>45509</v>
      </c>
      <c r="C13" s="64">
        <v>2639.53</v>
      </c>
      <c r="D13" s="67">
        <f t="shared" si="3"/>
        <v>2.0293541242274005E-2</v>
      </c>
      <c r="E13" s="61"/>
      <c r="F13" s="64">
        <v>24367.5</v>
      </c>
      <c r="G13" s="67">
        <f t="shared" si="0"/>
        <v>-1.4167984885325113E-2</v>
      </c>
      <c r="S13" s="175">
        <v>45509</v>
      </c>
      <c r="T13" s="64">
        <v>440.12</v>
      </c>
      <c r="U13" s="67">
        <f t="shared" si="1"/>
        <v>1.3914485809067401E-2</v>
      </c>
      <c r="V13" s="59"/>
      <c r="W13" s="59"/>
      <c r="Y13" s="62"/>
      <c r="AG13" s="175">
        <v>45509</v>
      </c>
      <c r="AH13" s="64">
        <v>599.89</v>
      </c>
      <c r="AI13" s="67">
        <f t="shared" si="2"/>
        <v>-4.0544430938519671E-2</v>
      </c>
      <c r="AJ13" s="59"/>
      <c r="AK13" s="59"/>
      <c r="AM13" s="62"/>
      <c r="AU13" s="175">
        <v>45509</v>
      </c>
      <c r="AV13" s="64">
        <v>5593.24</v>
      </c>
      <c r="AW13" s="67">
        <f t="shared" si="4"/>
        <v>3.4859458790306164E-3</v>
      </c>
      <c r="AX13" s="67"/>
      <c r="AY13" s="67"/>
      <c r="AZ13" s="67"/>
      <c r="BA13" s="61"/>
    </row>
    <row r="14" spans="2:56" x14ac:dyDescent="0.3">
      <c r="B14" s="175">
        <v>45516</v>
      </c>
      <c r="C14" s="64">
        <v>2640.54</v>
      </c>
      <c r="D14" s="67">
        <f t="shared" si="3"/>
        <v>3.8264387978159675E-4</v>
      </c>
      <c r="E14" s="61"/>
      <c r="F14" s="64">
        <v>24541.15</v>
      </c>
      <c r="G14" s="67">
        <f t="shared" si="0"/>
        <v>7.1262952703396998E-3</v>
      </c>
      <c r="I14" t="s">
        <v>176</v>
      </c>
      <c r="S14" s="175">
        <v>45516</v>
      </c>
      <c r="T14" s="64">
        <v>446.11</v>
      </c>
      <c r="U14" s="67">
        <f t="shared" si="1"/>
        <v>1.3609924566027498E-2</v>
      </c>
      <c r="V14" s="59"/>
      <c r="W14" t="s">
        <v>176</v>
      </c>
      <c r="AG14" s="175">
        <v>45516</v>
      </c>
      <c r="AH14" s="64">
        <v>565.87</v>
      </c>
      <c r="AI14" s="67">
        <f t="shared" si="2"/>
        <v>-5.6710396906099469E-2</v>
      </c>
      <c r="AJ14" s="59"/>
      <c r="AK14" t="s">
        <v>176</v>
      </c>
      <c r="AU14" s="175">
        <v>45516</v>
      </c>
      <c r="AV14" s="64">
        <v>5655.53</v>
      </c>
      <c r="AW14" s="67">
        <f t="shared" si="4"/>
        <v>1.113665782265727E-2</v>
      </c>
      <c r="AX14" s="67"/>
      <c r="AY14" t="s">
        <v>176</v>
      </c>
    </row>
    <row r="15" spans="2:56" ht="15" thickBot="1" x14ac:dyDescent="0.35">
      <c r="B15" s="175">
        <v>45523</v>
      </c>
      <c r="C15" s="64">
        <v>2705.25</v>
      </c>
      <c r="D15" s="67">
        <f t="shared" si="3"/>
        <v>2.4506350973664492E-2</v>
      </c>
      <c r="E15" s="61"/>
      <c r="F15" s="64">
        <v>24823.15</v>
      </c>
      <c r="G15" s="67">
        <f t="shared" si="0"/>
        <v>1.1490904052988471E-2</v>
      </c>
      <c r="S15" s="175">
        <v>45523</v>
      </c>
      <c r="T15" s="64">
        <v>448.91</v>
      </c>
      <c r="U15" s="67">
        <f t="shared" si="1"/>
        <v>6.2764788953397765E-3</v>
      </c>
      <c r="V15" s="59"/>
      <c r="AG15" s="175">
        <v>45523</v>
      </c>
      <c r="AH15" s="64">
        <v>629.65</v>
      </c>
      <c r="AI15" s="67">
        <f t="shared" si="2"/>
        <v>0.11271140014490966</v>
      </c>
      <c r="AJ15" s="59"/>
      <c r="AU15" s="175">
        <v>45523</v>
      </c>
      <c r="AV15" s="64">
        <v>5717.72</v>
      </c>
      <c r="AW15" s="67">
        <f t="shared" si="4"/>
        <v>1.0996316879231527E-2</v>
      </c>
      <c r="AX15" s="67"/>
    </row>
    <row r="16" spans="2:56" x14ac:dyDescent="0.3">
      <c r="B16" s="175">
        <v>45530</v>
      </c>
      <c r="C16" s="64">
        <v>2669.13</v>
      </c>
      <c r="D16" s="67">
        <f t="shared" si="3"/>
        <v>-1.335181591350143E-2</v>
      </c>
      <c r="E16" s="61"/>
      <c r="F16" s="64">
        <v>25235.9</v>
      </c>
      <c r="G16" s="67">
        <f t="shared" si="0"/>
        <v>1.6627623810837822E-2</v>
      </c>
      <c r="I16" s="78" t="s">
        <v>177</v>
      </c>
      <c r="J16" s="78"/>
      <c r="S16" s="175">
        <v>45530</v>
      </c>
      <c r="T16" s="64">
        <v>445.44</v>
      </c>
      <c r="U16" s="67">
        <f t="shared" si="1"/>
        <v>-7.7298344879820347E-3</v>
      </c>
      <c r="V16" s="59"/>
      <c r="W16" s="78" t="s">
        <v>177</v>
      </c>
      <c r="X16" s="78"/>
      <c r="AG16" s="175">
        <v>45530</v>
      </c>
      <c r="AH16" s="64">
        <v>597.33000000000004</v>
      </c>
      <c r="AI16" s="67">
        <f t="shared" si="2"/>
        <v>-5.1330104026046097E-2</v>
      </c>
      <c r="AJ16" s="59"/>
      <c r="AK16" s="78" t="s">
        <v>177</v>
      </c>
      <c r="AL16" s="78"/>
      <c r="AU16" s="175">
        <v>45530</v>
      </c>
      <c r="AV16" s="64">
        <v>5779.51</v>
      </c>
      <c r="AW16" s="67">
        <f t="shared" si="4"/>
        <v>1.0806755140160718E-2</v>
      </c>
      <c r="AX16" s="67"/>
      <c r="AY16" s="78" t="s">
        <v>177</v>
      </c>
      <c r="AZ16" s="78"/>
    </row>
    <row r="17" spans="2:59" x14ac:dyDescent="0.3">
      <c r="B17" s="175">
        <v>45537</v>
      </c>
      <c r="C17" s="64">
        <v>2727.69</v>
      </c>
      <c r="D17" s="67">
        <f t="shared" si="3"/>
        <v>2.1939733171482789E-2</v>
      </c>
      <c r="E17" s="61"/>
      <c r="F17" s="64">
        <v>24852.15</v>
      </c>
      <c r="G17" s="67">
        <f t="shared" si="0"/>
        <v>-1.5206511358818231E-2</v>
      </c>
      <c r="I17" t="s">
        <v>178</v>
      </c>
      <c r="J17">
        <v>0.38095448480811334</v>
      </c>
      <c r="S17" s="175">
        <v>45537</v>
      </c>
      <c r="T17" s="64">
        <v>445.27</v>
      </c>
      <c r="U17" s="67">
        <f t="shared" si="1"/>
        <v>-3.816451149425415E-4</v>
      </c>
      <c r="V17" s="59"/>
      <c r="W17" t="s">
        <v>178</v>
      </c>
      <c r="X17">
        <v>0.39533940078354302</v>
      </c>
      <c r="AG17" s="175">
        <v>45537</v>
      </c>
      <c r="AH17" s="64">
        <v>594.29</v>
      </c>
      <c r="AI17" s="67">
        <f t="shared" si="2"/>
        <v>-5.0893141144762177E-3</v>
      </c>
      <c r="AJ17" s="59"/>
      <c r="AK17" t="s">
        <v>178</v>
      </c>
      <c r="AL17">
        <v>0.48124077997561548</v>
      </c>
      <c r="AU17" s="175">
        <v>45537</v>
      </c>
      <c r="AV17" s="64">
        <v>5767.96</v>
      </c>
      <c r="AW17" s="67">
        <f t="shared" si="4"/>
        <v>-1.9984393140595191E-3</v>
      </c>
      <c r="AX17" s="67"/>
      <c r="AY17" t="s">
        <v>178</v>
      </c>
      <c r="AZ17">
        <v>0.33058567534124023</v>
      </c>
    </row>
    <row r="18" spans="2:59" x14ac:dyDescent="0.3">
      <c r="B18" s="175">
        <v>45544</v>
      </c>
      <c r="C18" s="64">
        <v>2818</v>
      </c>
      <c r="D18" s="67">
        <f t="shared" si="3"/>
        <v>3.3108601050705788E-2</v>
      </c>
      <c r="E18" s="61"/>
      <c r="F18" s="64">
        <v>25356.5</v>
      </c>
      <c r="G18" s="67">
        <f t="shared" si="0"/>
        <v>2.0294018827344829E-2</v>
      </c>
      <c r="I18" t="s">
        <v>179</v>
      </c>
      <c r="J18">
        <v>0.14512631949541507</v>
      </c>
      <c r="S18" s="175">
        <v>45544</v>
      </c>
      <c r="T18" s="64">
        <v>456.05</v>
      </c>
      <c r="U18" s="67">
        <f t="shared" si="1"/>
        <v>2.4210029869517369E-2</v>
      </c>
      <c r="V18" s="59"/>
      <c r="W18" t="s">
        <v>179</v>
      </c>
      <c r="X18">
        <v>0.15629324181189083</v>
      </c>
      <c r="AG18" s="175">
        <v>45544</v>
      </c>
      <c r="AH18" s="64">
        <v>643.39</v>
      </c>
      <c r="AI18" s="67">
        <f t="shared" si="2"/>
        <v>8.2619596493294534E-2</v>
      </c>
      <c r="AJ18" s="59"/>
      <c r="AK18" t="s">
        <v>179</v>
      </c>
      <c r="AL18">
        <v>0.23159268831153873</v>
      </c>
      <c r="AU18" s="175">
        <v>45544</v>
      </c>
      <c r="AV18" s="64">
        <v>6053.77</v>
      </c>
      <c r="AW18" s="67">
        <f t="shared" si="4"/>
        <v>4.9551314502874533E-2</v>
      </c>
      <c r="AX18" s="67"/>
      <c r="AY18" t="s">
        <v>179</v>
      </c>
      <c r="AZ18">
        <v>0.1092868887408239</v>
      </c>
    </row>
    <row r="19" spans="2:59" x14ac:dyDescent="0.3">
      <c r="B19" s="175">
        <v>45551</v>
      </c>
      <c r="C19" s="64">
        <v>2860.9</v>
      </c>
      <c r="D19" s="67">
        <f t="shared" si="3"/>
        <v>1.5223562810503966E-2</v>
      </c>
      <c r="E19" s="61"/>
      <c r="F19" s="64">
        <v>25790.95</v>
      </c>
      <c r="G19" s="67">
        <f t="shared" si="0"/>
        <v>1.7133673811448702E-2</v>
      </c>
      <c r="I19" t="s">
        <v>180</v>
      </c>
      <c r="J19">
        <v>0.13682657502449677</v>
      </c>
      <c r="S19" s="175">
        <v>45551</v>
      </c>
      <c r="T19" s="64">
        <v>456.54</v>
      </c>
      <c r="U19" s="67">
        <f t="shared" si="1"/>
        <v>1.0744435917113826E-3</v>
      </c>
      <c r="V19" s="59"/>
      <c r="W19" t="s">
        <v>180</v>
      </c>
      <c r="X19">
        <v>0.14810191406249171</v>
      </c>
      <c r="AG19" s="175">
        <v>45551</v>
      </c>
      <c r="AH19" s="64">
        <v>651.15</v>
      </c>
      <c r="AI19" s="67">
        <f t="shared" si="2"/>
        <v>1.2061113787904754E-2</v>
      </c>
      <c r="AJ19" s="59"/>
      <c r="AK19" t="s">
        <v>180</v>
      </c>
      <c r="AL19">
        <v>0.22413242314951484</v>
      </c>
      <c r="AU19" s="175">
        <v>45551</v>
      </c>
      <c r="AV19" s="64">
        <v>6130.21</v>
      </c>
      <c r="AW19" s="67">
        <f t="shared" si="4"/>
        <v>1.2626842446938014E-2</v>
      </c>
      <c r="AX19" s="67"/>
      <c r="AY19" t="s">
        <v>180</v>
      </c>
      <c r="AZ19">
        <v>0.10063918863151151</v>
      </c>
    </row>
    <row r="20" spans="2:59" x14ac:dyDescent="0.3">
      <c r="B20" s="175">
        <v>45558</v>
      </c>
      <c r="C20" s="64">
        <v>2850</v>
      </c>
      <c r="D20" s="67">
        <f t="shared" si="3"/>
        <v>-3.8099898633296991E-3</v>
      </c>
      <c r="E20" s="61"/>
      <c r="F20" s="64">
        <v>26178.95</v>
      </c>
      <c r="G20" s="67">
        <f t="shared" si="0"/>
        <v>1.5044036764834123E-2</v>
      </c>
      <c r="I20" t="s">
        <v>181</v>
      </c>
      <c r="J20">
        <v>2.5402507000569879E-2</v>
      </c>
      <c r="S20" s="175">
        <v>45558</v>
      </c>
      <c r="T20" s="64">
        <v>463.9</v>
      </c>
      <c r="U20" s="67">
        <f t="shared" si="1"/>
        <v>1.6121259911508146E-2</v>
      </c>
      <c r="V20" s="59"/>
      <c r="W20" t="s">
        <v>181</v>
      </c>
      <c r="X20">
        <v>2.5271008794788313E-2</v>
      </c>
      <c r="AG20" s="175">
        <v>45558</v>
      </c>
      <c r="AH20" s="64">
        <v>605.48</v>
      </c>
      <c r="AI20" s="67">
        <f t="shared" si="2"/>
        <v>-7.0137449128464979E-2</v>
      </c>
      <c r="AJ20" s="59"/>
      <c r="AK20" t="s">
        <v>181</v>
      </c>
      <c r="AL20">
        <v>3.9397087380142526E-2</v>
      </c>
      <c r="AU20" s="175">
        <v>45558</v>
      </c>
      <c r="AV20" s="64">
        <v>6187.71</v>
      </c>
      <c r="AW20" s="67">
        <f t="shared" si="4"/>
        <v>9.3797765492535934E-3</v>
      </c>
      <c r="AX20" s="67"/>
      <c r="AY20" t="s">
        <v>181</v>
      </c>
      <c r="AZ20">
        <v>2.7734962262953047E-2</v>
      </c>
    </row>
    <row r="21" spans="2:59" ht="15" thickBot="1" x14ac:dyDescent="0.35">
      <c r="B21" s="175">
        <v>45565</v>
      </c>
      <c r="C21" s="64">
        <v>2737.1</v>
      </c>
      <c r="D21" s="67">
        <f t="shared" si="3"/>
        <v>-3.9614035087719324E-2</v>
      </c>
      <c r="E21" s="61"/>
      <c r="F21" s="64">
        <v>25014.6</v>
      </c>
      <c r="G21" s="67">
        <f t="shared" si="0"/>
        <v>-4.4476573735768743E-2</v>
      </c>
      <c r="I21" s="76" t="s">
        <v>182</v>
      </c>
      <c r="J21" s="76">
        <v>105</v>
      </c>
      <c r="S21" s="175">
        <v>45565</v>
      </c>
      <c r="T21" s="64">
        <v>446.91</v>
      </c>
      <c r="U21" s="67">
        <f t="shared" si="1"/>
        <v>-3.662427247251554E-2</v>
      </c>
      <c r="V21" s="59"/>
      <c r="W21" s="76" t="s">
        <v>182</v>
      </c>
      <c r="X21" s="76">
        <v>105</v>
      </c>
      <c r="AG21" s="175">
        <v>45565</v>
      </c>
      <c r="AH21" s="64">
        <v>575.98</v>
      </c>
      <c r="AI21" s="67">
        <f t="shared" si="2"/>
        <v>-4.8721675364999717E-2</v>
      </c>
      <c r="AJ21" s="59"/>
      <c r="AK21" s="76" t="s">
        <v>182</v>
      </c>
      <c r="AL21" s="76">
        <v>105</v>
      </c>
      <c r="AU21" s="175">
        <v>45565</v>
      </c>
      <c r="AV21" s="64">
        <v>6125.72</v>
      </c>
      <c r="AW21" s="67">
        <f t="shared" si="4"/>
        <v>-1.0018245845393459E-2</v>
      </c>
      <c r="AX21" s="67"/>
      <c r="AY21" s="76" t="s">
        <v>182</v>
      </c>
      <c r="AZ21" s="76">
        <v>105</v>
      </c>
    </row>
    <row r="22" spans="2:59" x14ac:dyDescent="0.3">
      <c r="B22" s="175">
        <v>45572</v>
      </c>
      <c r="C22" s="64">
        <v>2674.12</v>
      </c>
      <c r="D22" s="67">
        <f t="shared" si="3"/>
        <v>-2.3009754850023767E-2</v>
      </c>
      <c r="E22" s="61"/>
      <c r="F22" s="64">
        <v>24964.25</v>
      </c>
      <c r="G22" s="67">
        <f t="shared" si="0"/>
        <v>-2.0128245104857889E-3</v>
      </c>
      <c r="S22" s="175">
        <v>45572</v>
      </c>
      <c r="T22" s="64">
        <v>433.29</v>
      </c>
      <c r="U22" s="67">
        <f t="shared" si="1"/>
        <v>-3.0475934751963529E-2</v>
      </c>
      <c r="V22" s="59"/>
      <c r="AG22" s="175">
        <v>45572</v>
      </c>
      <c r="AH22" s="64">
        <v>589.36</v>
      </c>
      <c r="AI22" s="67">
        <f t="shared" si="2"/>
        <v>2.3229973262960613E-2</v>
      </c>
      <c r="AJ22" s="59"/>
      <c r="AU22" s="175">
        <v>45572</v>
      </c>
      <c r="AV22" s="64">
        <v>5901.17</v>
      </c>
      <c r="AW22" s="67">
        <f t="shared" si="4"/>
        <v>-3.6656915431981907E-2</v>
      </c>
      <c r="AX22" s="67"/>
    </row>
    <row r="23" spans="2:59" ht="15" thickBot="1" x14ac:dyDescent="0.35">
      <c r="B23" s="175">
        <v>45579</v>
      </c>
      <c r="C23" s="64">
        <v>2610.61</v>
      </c>
      <c r="D23" s="67">
        <f t="shared" si="3"/>
        <v>-2.3749869115821221E-2</v>
      </c>
      <c r="E23" s="61"/>
      <c r="F23" s="64">
        <v>24854.05</v>
      </c>
      <c r="G23" s="67">
        <f t="shared" si="0"/>
        <v>-4.4143124668275524E-3</v>
      </c>
      <c r="I23" t="s">
        <v>183</v>
      </c>
      <c r="S23" s="175">
        <v>45579</v>
      </c>
      <c r="T23" s="64">
        <v>431.95</v>
      </c>
      <c r="U23" s="67">
        <f t="shared" si="1"/>
        <v>-3.0926169540032022E-3</v>
      </c>
      <c r="V23" s="59"/>
      <c r="W23" t="s">
        <v>183</v>
      </c>
      <c r="AG23" s="175">
        <v>45579</v>
      </c>
      <c r="AH23" s="64">
        <v>585.78</v>
      </c>
      <c r="AI23" s="67">
        <f t="shared" si="2"/>
        <v>-6.0743857743994489E-3</v>
      </c>
      <c r="AJ23" s="59"/>
      <c r="AK23" t="s">
        <v>183</v>
      </c>
      <c r="AU23" s="175">
        <v>45579</v>
      </c>
      <c r="AV23" s="64">
        <v>5811.05</v>
      </c>
      <c r="AW23" s="67">
        <f t="shared" si="4"/>
        <v>-1.52715478455967E-2</v>
      </c>
      <c r="AX23" s="67"/>
      <c r="AY23" t="s">
        <v>183</v>
      </c>
    </row>
    <row r="24" spans="2:59" x14ac:dyDescent="0.3">
      <c r="B24" s="175">
        <v>45586</v>
      </c>
      <c r="C24" s="64">
        <v>2428.9699999999998</v>
      </c>
      <c r="D24" s="67">
        <f t="shared" si="3"/>
        <v>-6.9577608298443727E-2</v>
      </c>
      <c r="E24" s="60"/>
      <c r="F24" s="64">
        <v>24180.799999999999</v>
      </c>
      <c r="G24" s="67">
        <f t="shared" si="0"/>
        <v>-2.7088140564616281E-2</v>
      </c>
      <c r="I24" s="77"/>
      <c r="J24" s="77" t="s">
        <v>187</v>
      </c>
      <c r="K24" s="77" t="s">
        <v>188</v>
      </c>
      <c r="L24" s="77" t="s">
        <v>189</v>
      </c>
      <c r="M24" s="77" t="s">
        <v>190</v>
      </c>
      <c r="N24" s="77" t="s">
        <v>191</v>
      </c>
      <c r="S24" s="175">
        <v>45586</v>
      </c>
      <c r="T24" s="64">
        <v>428.05</v>
      </c>
      <c r="U24" s="67">
        <f t="shared" si="1"/>
        <v>-9.0288227804143917E-3</v>
      </c>
      <c r="V24" s="60"/>
      <c r="W24" s="77"/>
      <c r="X24" s="77" t="s">
        <v>187</v>
      </c>
      <c r="Y24" s="77" t="s">
        <v>188</v>
      </c>
      <c r="Z24" s="77" t="s">
        <v>189</v>
      </c>
      <c r="AA24" s="77" t="s">
        <v>190</v>
      </c>
      <c r="AB24" s="77" t="s">
        <v>191</v>
      </c>
      <c r="AG24" s="175">
        <v>45586</v>
      </c>
      <c r="AH24" s="64">
        <v>608.12</v>
      </c>
      <c r="AI24" s="67">
        <f t="shared" si="2"/>
        <v>3.8137184608556085E-2</v>
      </c>
      <c r="AJ24" s="59"/>
      <c r="AK24" s="77"/>
      <c r="AL24" s="77" t="s">
        <v>187</v>
      </c>
      <c r="AM24" s="77" t="s">
        <v>188</v>
      </c>
      <c r="AN24" s="77" t="s">
        <v>189</v>
      </c>
      <c r="AO24" s="77" t="s">
        <v>190</v>
      </c>
      <c r="AP24" s="77" t="s">
        <v>191</v>
      </c>
      <c r="AU24" s="175">
        <v>45586</v>
      </c>
      <c r="AV24" s="64">
        <v>5596.06</v>
      </c>
      <c r="AW24" s="67">
        <f t="shared" si="4"/>
        <v>-3.6996756180036283E-2</v>
      </c>
      <c r="AX24" s="67"/>
      <c r="AY24" s="77"/>
      <c r="AZ24" s="77" t="s">
        <v>187</v>
      </c>
      <c r="BA24" s="77" t="s">
        <v>188</v>
      </c>
      <c r="BB24" s="77" t="s">
        <v>189</v>
      </c>
      <c r="BC24" s="77" t="s">
        <v>190</v>
      </c>
      <c r="BD24" s="77" t="s">
        <v>191</v>
      </c>
    </row>
    <row r="25" spans="2:59" x14ac:dyDescent="0.3">
      <c r="B25" s="175">
        <v>45593</v>
      </c>
      <c r="C25" s="64">
        <v>2438.0500000000002</v>
      </c>
      <c r="D25" s="67">
        <f t="shared" si="3"/>
        <v>3.7382100231786453E-3</v>
      </c>
      <c r="E25" s="61"/>
      <c r="F25" s="64">
        <v>24304.35</v>
      </c>
      <c r="G25" s="67">
        <f t="shared" si="0"/>
        <v>5.1094256600276999E-3</v>
      </c>
      <c r="I25" t="s">
        <v>184</v>
      </c>
      <c r="J25">
        <v>1</v>
      </c>
      <c r="K25">
        <v>1.1283260608759865E-2</v>
      </c>
      <c r="L25">
        <v>1.1283260608759865E-2</v>
      </c>
      <c r="M25">
        <v>17.485637058336813</v>
      </c>
      <c r="N25">
        <v>6.0934746118323629E-5</v>
      </c>
      <c r="S25" s="175">
        <v>45593</v>
      </c>
      <c r="T25" s="64">
        <v>435.15</v>
      </c>
      <c r="U25" s="67">
        <f t="shared" si="1"/>
        <v>1.6586847330919197E-2</v>
      </c>
      <c r="V25" s="59"/>
      <c r="W25" t="s">
        <v>184</v>
      </c>
      <c r="X25">
        <v>1</v>
      </c>
      <c r="Y25">
        <v>1.2185154887936492E-2</v>
      </c>
      <c r="Z25">
        <v>1.2185154887936492E-2</v>
      </c>
      <c r="AA25">
        <v>19.080330636673143</v>
      </c>
      <c r="AB25">
        <v>2.9944914923922367E-5</v>
      </c>
      <c r="AG25" s="175">
        <v>45593</v>
      </c>
      <c r="AH25" s="64">
        <v>605.42999999999995</v>
      </c>
      <c r="AI25" s="67">
        <f t="shared" si="2"/>
        <v>-4.4234690521608444E-3</v>
      </c>
      <c r="AJ25" s="59"/>
      <c r="AK25" t="s">
        <v>184</v>
      </c>
      <c r="AL25">
        <v>1</v>
      </c>
      <c r="AM25">
        <v>4.8183551913749179E-2</v>
      </c>
      <c r="AN25">
        <v>4.8183551913749179E-2</v>
      </c>
      <c r="AO25">
        <v>31.043492862753681</v>
      </c>
      <c r="AP25">
        <v>2.028949819453857E-7</v>
      </c>
      <c r="AU25" s="175">
        <v>45593</v>
      </c>
      <c r="AV25" s="64">
        <v>5619.41</v>
      </c>
      <c r="AW25" s="67">
        <f t="shared" si="4"/>
        <v>4.1725785642039437E-3</v>
      </c>
      <c r="AX25" s="67"/>
      <c r="AY25" t="s">
        <v>184</v>
      </c>
      <c r="AZ25">
        <v>1</v>
      </c>
      <c r="BA25">
        <v>9.7212609347864937E-3</v>
      </c>
      <c r="BB25">
        <v>9.7212609347864937E-3</v>
      </c>
      <c r="BC25">
        <v>12.637682546731341</v>
      </c>
      <c r="BD25">
        <v>5.7250386786398232E-4</v>
      </c>
    </row>
    <row r="26" spans="2:59" x14ac:dyDescent="0.3">
      <c r="B26" s="175">
        <v>45600</v>
      </c>
      <c r="C26" s="64">
        <v>2409.42</v>
      </c>
      <c r="D26" s="67">
        <f t="shared" si="3"/>
        <v>-1.1742991325034424E-2</v>
      </c>
      <c r="E26" s="61"/>
      <c r="F26" s="64">
        <v>24148.2</v>
      </c>
      <c r="G26" s="67">
        <f t="shared" si="0"/>
        <v>-6.4247758117372822E-3</v>
      </c>
      <c r="I26" t="s">
        <v>185</v>
      </c>
      <c r="J26">
        <v>103</v>
      </c>
      <c r="K26">
        <v>6.646459827714217E-2</v>
      </c>
      <c r="L26">
        <v>6.4528736191400162E-4</v>
      </c>
      <c r="S26" s="175">
        <v>45600</v>
      </c>
      <c r="T26" s="64">
        <v>424.28</v>
      </c>
      <c r="U26" s="67">
        <f t="shared" si="1"/>
        <v>-2.4979891991267378E-2</v>
      </c>
      <c r="V26" s="59"/>
      <c r="W26" t="s">
        <v>185</v>
      </c>
      <c r="X26">
        <v>103</v>
      </c>
      <c r="Y26">
        <v>6.5778260207145639E-2</v>
      </c>
      <c r="Z26">
        <v>6.386238855062683E-4</v>
      </c>
      <c r="AG26" s="175">
        <v>45600</v>
      </c>
      <c r="AH26" s="64">
        <v>588.57000000000005</v>
      </c>
      <c r="AI26" s="67">
        <f t="shared" si="2"/>
        <v>-2.7847975818839354E-2</v>
      </c>
      <c r="AJ26" s="59"/>
      <c r="AK26" t="s">
        <v>185</v>
      </c>
      <c r="AL26">
        <v>103</v>
      </c>
      <c r="AM26">
        <v>0.15986944088597432</v>
      </c>
      <c r="AN26">
        <v>1.5521304940385857E-3</v>
      </c>
      <c r="AU26" s="175">
        <v>45600</v>
      </c>
      <c r="AV26" s="64">
        <v>5672.81</v>
      </c>
      <c r="AW26" s="67">
        <f t="shared" si="4"/>
        <v>9.5027769819251429E-3</v>
      </c>
      <c r="AX26" s="67"/>
      <c r="AY26" t="s">
        <v>185</v>
      </c>
      <c r="AZ26">
        <v>103</v>
      </c>
      <c r="BA26">
        <v>7.9230497567925245E-2</v>
      </c>
      <c r="BB26">
        <v>7.6922813172742958E-4</v>
      </c>
    </row>
    <row r="27" spans="2:59" ht="15" thickBot="1" x14ac:dyDescent="0.35">
      <c r="B27" s="175">
        <v>45607</v>
      </c>
      <c r="C27" s="64">
        <v>2322.27</v>
      </c>
      <c r="D27" s="67">
        <f t="shared" si="3"/>
        <v>-3.6170530667131495E-2</v>
      </c>
      <c r="E27" s="61"/>
      <c r="F27" s="64">
        <v>23532.7</v>
      </c>
      <c r="G27" s="67">
        <f t="shared" si="0"/>
        <v>-2.5488442202731498E-2</v>
      </c>
      <c r="I27" s="76" t="s">
        <v>13</v>
      </c>
      <c r="J27" s="76">
        <v>104</v>
      </c>
      <c r="K27" s="76">
        <v>7.7747858885902035E-2</v>
      </c>
      <c r="L27" s="76"/>
      <c r="M27" s="76"/>
      <c r="N27" s="76"/>
      <c r="S27" s="175">
        <v>45607</v>
      </c>
      <c r="T27" s="64">
        <v>413.54</v>
      </c>
      <c r="U27" s="67">
        <f t="shared" si="1"/>
        <v>-2.5313472235316214E-2</v>
      </c>
      <c r="V27" s="59"/>
      <c r="W27" s="76" t="s">
        <v>13</v>
      </c>
      <c r="X27" s="76">
        <v>104</v>
      </c>
      <c r="Y27" s="76">
        <v>7.7963415095082131E-2</v>
      </c>
      <c r="Z27" s="76"/>
      <c r="AA27" s="76"/>
      <c r="AB27" s="76"/>
      <c r="AG27" s="175">
        <v>45607</v>
      </c>
      <c r="AH27" s="64">
        <v>572.75</v>
      </c>
      <c r="AI27" s="67">
        <f t="shared" si="2"/>
        <v>-2.6878706016276843E-2</v>
      </c>
      <c r="AJ27" s="59"/>
      <c r="AK27" s="76" t="s">
        <v>13</v>
      </c>
      <c r="AL27" s="76">
        <v>104</v>
      </c>
      <c r="AM27" s="76">
        <v>0.2080529927997235</v>
      </c>
      <c r="AN27" s="76"/>
      <c r="AO27" s="76"/>
      <c r="AP27" s="76"/>
      <c r="AU27" s="175">
        <v>45607</v>
      </c>
      <c r="AV27" s="64">
        <v>4852.01</v>
      </c>
      <c r="AW27" s="67">
        <f t="shared" si="4"/>
        <v>-0.1446901976269257</v>
      </c>
      <c r="AX27" s="67"/>
      <c r="AY27" s="76" t="s">
        <v>13</v>
      </c>
      <c r="AZ27" s="76">
        <v>104</v>
      </c>
      <c r="BA27" s="76">
        <v>8.8951758502711739E-2</v>
      </c>
      <c r="BB27" s="76"/>
      <c r="BC27" s="76"/>
      <c r="BD27" s="76"/>
    </row>
    <row r="28" spans="2:59" ht="15" thickBot="1" x14ac:dyDescent="0.35">
      <c r="B28" s="175">
        <v>45614</v>
      </c>
      <c r="C28" s="64">
        <v>2376.75</v>
      </c>
      <c r="D28" s="67">
        <f t="shared" si="3"/>
        <v>2.3459804415507213E-2</v>
      </c>
      <c r="E28" s="61"/>
      <c r="F28" s="64">
        <v>23907.25</v>
      </c>
      <c r="G28" s="67">
        <f t="shared" si="0"/>
        <v>1.5916150717937061E-2</v>
      </c>
      <c r="S28" s="175">
        <v>45614</v>
      </c>
      <c r="T28" s="64">
        <v>421.26</v>
      </c>
      <c r="U28" s="67">
        <f t="shared" si="1"/>
        <v>1.8668085312182559E-2</v>
      </c>
      <c r="V28" s="59"/>
      <c r="AG28" s="175">
        <v>45614</v>
      </c>
      <c r="AH28" s="64">
        <v>613.29</v>
      </c>
      <c r="AI28" s="67">
        <f t="shared" si="2"/>
        <v>7.0781318201658561E-2</v>
      </c>
      <c r="AJ28" s="59"/>
      <c r="AU28" s="175">
        <v>45614</v>
      </c>
      <c r="AV28" s="64">
        <v>4785.63</v>
      </c>
      <c r="AW28" s="67">
        <f t="shared" si="4"/>
        <v>-1.3680928110205937E-2</v>
      </c>
      <c r="AX28" s="67"/>
    </row>
    <row r="29" spans="2:59" x14ac:dyDescent="0.3">
      <c r="B29" s="175">
        <v>45621</v>
      </c>
      <c r="C29" s="64">
        <v>2426.23</v>
      </c>
      <c r="D29" s="67">
        <f t="shared" si="3"/>
        <v>2.0818344377826925E-2</v>
      </c>
      <c r="E29" s="61"/>
      <c r="F29" s="64">
        <v>24131.1</v>
      </c>
      <c r="G29" s="67">
        <f t="shared" si="0"/>
        <v>9.3632684645870157E-3</v>
      </c>
      <c r="I29" s="77"/>
      <c r="J29" s="77" t="s">
        <v>192</v>
      </c>
      <c r="K29" s="77" t="s">
        <v>181</v>
      </c>
      <c r="L29" s="77" t="s">
        <v>193</v>
      </c>
      <c r="M29" s="77" t="s">
        <v>194</v>
      </c>
      <c r="N29" s="77" t="s">
        <v>195</v>
      </c>
      <c r="O29" s="77" t="s">
        <v>196</v>
      </c>
      <c r="P29" s="77" t="s">
        <v>197</v>
      </c>
      <c r="Q29" s="77" t="s">
        <v>198</v>
      </c>
      <c r="S29" s="175">
        <v>45621</v>
      </c>
      <c r="T29" s="64">
        <v>423.12</v>
      </c>
      <c r="U29" s="67">
        <f t="shared" si="1"/>
        <v>4.4153254522147911E-3</v>
      </c>
      <c r="V29" s="59"/>
      <c r="W29" s="77"/>
      <c r="X29" s="77" t="s">
        <v>192</v>
      </c>
      <c r="Y29" s="77" t="s">
        <v>181</v>
      </c>
      <c r="Z29" s="77" t="s">
        <v>193</v>
      </c>
      <c r="AA29" s="77" t="s">
        <v>194</v>
      </c>
      <c r="AB29" s="77" t="s">
        <v>195</v>
      </c>
      <c r="AC29" s="77" t="s">
        <v>196</v>
      </c>
      <c r="AD29" s="77" t="s">
        <v>197</v>
      </c>
      <c r="AE29" s="77" t="s">
        <v>198</v>
      </c>
      <c r="AG29" s="175">
        <v>45621</v>
      </c>
      <c r="AH29" s="64">
        <v>618.07000000000005</v>
      </c>
      <c r="AI29" s="67">
        <f t="shared" si="2"/>
        <v>7.7940289259568196E-3</v>
      </c>
      <c r="AJ29" s="59"/>
      <c r="AK29" s="77"/>
      <c r="AL29" s="77" t="s">
        <v>192</v>
      </c>
      <c r="AM29" s="77" t="s">
        <v>181</v>
      </c>
      <c r="AN29" s="77" t="s">
        <v>193</v>
      </c>
      <c r="AO29" s="77" t="s">
        <v>194</v>
      </c>
      <c r="AP29" s="77" t="s">
        <v>195</v>
      </c>
      <c r="AQ29" s="77" t="s">
        <v>196</v>
      </c>
      <c r="AR29" s="77" t="s">
        <v>197</v>
      </c>
      <c r="AS29" s="77" t="s">
        <v>198</v>
      </c>
      <c r="AU29" s="175">
        <v>45621</v>
      </c>
      <c r="AV29" s="64">
        <v>4877.2299999999996</v>
      </c>
      <c r="AW29" s="67">
        <f t="shared" si="4"/>
        <v>1.9140635611194279E-2</v>
      </c>
      <c r="AX29" s="67"/>
      <c r="AY29" s="77"/>
      <c r="AZ29" s="77" t="s">
        <v>192</v>
      </c>
      <c r="BA29" s="77" t="s">
        <v>181</v>
      </c>
      <c r="BB29" s="77" t="s">
        <v>193</v>
      </c>
      <c r="BC29" s="77" t="s">
        <v>194</v>
      </c>
      <c r="BD29" s="77" t="s">
        <v>195</v>
      </c>
      <c r="BE29" s="77" t="s">
        <v>196</v>
      </c>
      <c r="BF29" s="77" t="s">
        <v>197</v>
      </c>
      <c r="BG29" s="77" t="s">
        <v>198</v>
      </c>
    </row>
    <row r="30" spans="2:59" x14ac:dyDescent="0.3">
      <c r="B30" s="175">
        <v>45628</v>
      </c>
      <c r="C30" s="64">
        <v>2414.2199999999998</v>
      </c>
      <c r="D30" s="67">
        <f t="shared" si="3"/>
        <v>-4.9500665641757369E-3</v>
      </c>
      <c r="E30" s="61"/>
      <c r="F30" s="64">
        <v>24677.8</v>
      </c>
      <c r="G30" s="67">
        <f t="shared" si="0"/>
        <v>2.2655411481449228E-2</v>
      </c>
      <c r="I30" t="s">
        <v>186</v>
      </c>
      <c r="J30">
        <v>-5.6223623031204139E-4</v>
      </c>
      <c r="K30">
        <v>2.4790647299055306E-3</v>
      </c>
      <c r="L30">
        <v>-0.22679368696172222</v>
      </c>
      <c r="M30">
        <v>0.82103367692111939</v>
      </c>
      <c r="N30">
        <v>-5.4788764217061827E-3</v>
      </c>
      <c r="O30">
        <v>4.3544039610821008E-3</v>
      </c>
      <c r="P30">
        <v>-5.4788764217061827E-3</v>
      </c>
      <c r="Q30">
        <v>4.3544039610821008E-3</v>
      </c>
      <c r="S30" s="175">
        <v>45628</v>
      </c>
      <c r="T30" s="64">
        <v>418.15</v>
      </c>
      <c r="U30" s="67">
        <f t="shared" si="1"/>
        <v>-1.1746076763093249E-2</v>
      </c>
      <c r="V30" s="59"/>
      <c r="W30" t="s">
        <v>186</v>
      </c>
      <c r="X30">
        <v>-2.1752445985558783E-3</v>
      </c>
      <c r="Y30">
        <v>2.4662316436281952E-3</v>
      </c>
      <c r="Z30">
        <v>-0.88201147048610917</v>
      </c>
      <c r="AA30">
        <v>0.3798243339535744</v>
      </c>
      <c r="AB30">
        <v>-7.0664333900693965E-3</v>
      </c>
      <c r="AC30">
        <v>2.71594419295764E-3</v>
      </c>
      <c r="AD30">
        <v>-7.0664333900693965E-3</v>
      </c>
      <c r="AE30">
        <v>2.71594419295764E-3</v>
      </c>
      <c r="AG30" s="175">
        <v>45628</v>
      </c>
      <c r="AH30" s="64">
        <v>640.79999999999995</v>
      </c>
      <c r="AI30" s="67">
        <f t="shared" si="2"/>
        <v>3.6775769734819441E-2</v>
      </c>
      <c r="AJ30" s="59"/>
      <c r="AK30" t="s">
        <v>186</v>
      </c>
      <c r="AL30">
        <v>-1.5104428815888287E-3</v>
      </c>
      <c r="AM30">
        <v>3.8448145997135854E-3</v>
      </c>
      <c r="AN30">
        <v>-0.39285194185991368</v>
      </c>
      <c r="AO30">
        <v>0.69524070759970535</v>
      </c>
      <c r="AP30">
        <v>-9.1357258205023075E-3</v>
      </c>
      <c r="AQ30">
        <v>6.1148400573246501E-3</v>
      </c>
      <c r="AR30">
        <v>-9.1357258205023075E-3</v>
      </c>
      <c r="AS30">
        <v>6.1148400573246501E-3</v>
      </c>
      <c r="AU30" s="175">
        <v>45628</v>
      </c>
      <c r="AV30" s="64">
        <v>4807.84</v>
      </c>
      <c r="AW30" s="67">
        <f t="shared" si="4"/>
        <v>-1.4227338058693029E-2</v>
      </c>
      <c r="AX30" s="67"/>
      <c r="AY30" t="s">
        <v>186</v>
      </c>
      <c r="AZ30">
        <v>2.1421358873733719E-4</v>
      </c>
      <c r="BA30">
        <v>2.706692167422896E-3</v>
      </c>
      <c r="BB30">
        <v>7.9142205868683951E-2</v>
      </c>
      <c r="BC30">
        <v>0.93707306929328904</v>
      </c>
      <c r="BD30">
        <v>-5.1538719378516566E-3</v>
      </c>
      <c r="BE30">
        <v>5.5822991153263307E-3</v>
      </c>
      <c r="BF30">
        <v>-5.1538719378516566E-3</v>
      </c>
      <c r="BG30">
        <v>5.5822991153263307E-3</v>
      </c>
    </row>
    <row r="31" spans="2:59" ht="15" thickBot="1" x14ac:dyDescent="0.35">
      <c r="B31" s="175">
        <v>45635</v>
      </c>
      <c r="C31" s="64">
        <v>2323.15</v>
      </c>
      <c r="D31" s="67">
        <f t="shared" si="3"/>
        <v>-3.7722328536752947E-2</v>
      </c>
      <c r="E31" s="61"/>
      <c r="F31" s="64">
        <v>24768.3</v>
      </c>
      <c r="G31" s="67">
        <f t="shared" si="0"/>
        <v>3.6672636944945491E-3</v>
      </c>
      <c r="I31" s="76" t="s">
        <v>199</v>
      </c>
      <c r="J31" s="76">
        <v>0.56773357797631907</v>
      </c>
      <c r="K31" s="76">
        <v>0.1357700103189656</v>
      </c>
      <c r="L31" s="76">
        <v>4.1815830804058853</v>
      </c>
      <c r="M31" s="76">
        <v>6.0934746118324523E-5</v>
      </c>
      <c r="N31" s="76">
        <v>0.29846578457519185</v>
      </c>
      <c r="O31" s="76">
        <v>0.83700137137744623</v>
      </c>
      <c r="P31" s="76">
        <v>0.29846578457519185</v>
      </c>
      <c r="Q31" s="76">
        <v>0.83700137137744623</v>
      </c>
      <c r="S31" s="175">
        <v>45635</v>
      </c>
      <c r="T31" s="64">
        <v>417.13</v>
      </c>
      <c r="U31" s="67">
        <f t="shared" si="1"/>
        <v>-2.4393160349156506E-3</v>
      </c>
      <c r="V31" s="59"/>
      <c r="W31" s="76" t="s">
        <v>199</v>
      </c>
      <c r="X31" s="76">
        <v>0.58998748353165797</v>
      </c>
      <c r="Y31" s="76">
        <v>0.13506718548535812</v>
      </c>
      <c r="Z31" s="76">
        <v>4.3681037804375897</v>
      </c>
      <c r="AA31" s="76">
        <v>2.9944914923922204E-5</v>
      </c>
      <c r="AB31" s="76">
        <v>0.32211357742308083</v>
      </c>
      <c r="AC31" s="76">
        <v>0.85786138964023517</v>
      </c>
      <c r="AD31" s="76">
        <v>0.32211357742308083</v>
      </c>
      <c r="AE31" s="76">
        <v>0.85786138964023517</v>
      </c>
      <c r="AG31" s="175">
        <v>45635</v>
      </c>
      <c r="AH31" s="64">
        <v>642.4</v>
      </c>
      <c r="AI31" s="67">
        <f t="shared" si="2"/>
        <v>2.4968789013732895E-3</v>
      </c>
      <c r="AJ31" s="59"/>
      <c r="AK31" s="76" t="s">
        <v>199</v>
      </c>
      <c r="AL31" s="76">
        <v>1.1732124877803098</v>
      </c>
      <c r="AM31" s="76">
        <v>0.21056752233230927</v>
      </c>
      <c r="AN31" s="76">
        <v>5.5716687682195962</v>
      </c>
      <c r="AO31" s="76">
        <v>2.028949819453857E-7</v>
      </c>
      <c r="AP31" s="76">
        <v>0.75560147068485595</v>
      </c>
      <c r="AQ31" s="76">
        <v>1.5908235048757637</v>
      </c>
      <c r="AR31" s="76">
        <v>0.75560147068485595</v>
      </c>
      <c r="AS31" s="76">
        <v>1.5908235048757637</v>
      </c>
      <c r="AU31" s="175">
        <v>45635</v>
      </c>
      <c r="AV31" s="64">
        <v>4787.3599999999997</v>
      </c>
      <c r="AW31" s="67">
        <f t="shared" si="4"/>
        <v>-4.2597091417352351E-3</v>
      </c>
      <c r="AX31" s="67"/>
      <c r="AY31" s="76" t="s">
        <v>199</v>
      </c>
      <c r="AZ31" s="76">
        <v>0.52697325149286145</v>
      </c>
      <c r="BA31" s="76">
        <v>0.14823639700415317</v>
      </c>
      <c r="BB31" s="76">
        <v>3.5549518346570252</v>
      </c>
      <c r="BC31" s="76">
        <v>5.7250386786397852E-4</v>
      </c>
      <c r="BD31" s="76">
        <v>0.23298132036412045</v>
      </c>
      <c r="BE31" s="76">
        <v>0.82096518262160245</v>
      </c>
      <c r="BF31" s="76">
        <v>0.23298132036412045</v>
      </c>
      <c r="BG31" s="76">
        <v>0.82096518262160245</v>
      </c>
    </row>
    <row r="32" spans="2:59" x14ac:dyDescent="0.3">
      <c r="B32" s="175">
        <v>45642</v>
      </c>
      <c r="C32" s="64">
        <v>2268.52</v>
      </c>
      <c r="D32" s="67">
        <f t="shared" si="3"/>
        <v>-2.3515485440027573E-2</v>
      </c>
      <c r="E32" s="61"/>
      <c r="F32" s="64">
        <v>23587.5</v>
      </c>
      <c r="G32" s="67">
        <f t="shared" si="0"/>
        <v>-4.7673841159869612E-2</v>
      </c>
      <c r="S32" s="175">
        <v>45642</v>
      </c>
      <c r="T32" s="64">
        <v>412.38</v>
      </c>
      <c r="U32" s="67">
        <f t="shared" si="1"/>
        <v>-1.1387337280943544E-2</v>
      </c>
      <c r="V32" s="59"/>
      <c r="W32" s="59"/>
      <c r="Y32" s="62"/>
      <c r="AG32" s="175">
        <v>45642</v>
      </c>
      <c r="AH32" s="64">
        <v>609.46</v>
      </c>
      <c r="AI32" s="67">
        <f t="shared" si="2"/>
        <v>-5.1276463262764582E-2</v>
      </c>
      <c r="AJ32" s="59"/>
      <c r="AK32" s="59"/>
      <c r="AM32" s="62"/>
      <c r="AU32" s="175">
        <v>45642</v>
      </c>
      <c r="AV32" s="64">
        <v>4637.33</v>
      </c>
      <c r="AW32" s="67">
        <f t="shared" si="4"/>
        <v>-3.1338775441997258E-2</v>
      </c>
      <c r="AX32" s="67"/>
      <c r="AY32" s="67"/>
      <c r="AZ32" s="67"/>
      <c r="BA32" s="61"/>
      <c r="BB32" s="61"/>
      <c r="BD32" s="62"/>
    </row>
    <row r="33" spans="2:56" x14ac:dyDescent="0.3">
      <c r="B33" s="175">
        <v>45649</v>
      </c>
      <c r="C33" s="64">
        <v>2275.67</v>
      </c>
      <c r="D33" s="67">
        <f t="shared" si="3"/>
        <v>3.1518346763528271E-3</v>
      </c>
      <c r="E33" s="61"/>
      <c r="F33" s="64">
        <v>23813.4</v>
      </c>
      <c r="G33" s="67">
        <f t="shared" si="0"/>
        <v>9.5771065182830295E-3</v>
      </c>
      <c r="M33" s="61"/>
      <c r="N33" s="61"/>
      <c r="O33" s="61"/>
      <c r="Q33" s="62"/>
      <c r="S33" s="175">
        <v>45649</v>
      </c>
      <c r="T33" s="64">
        <v>424.77</v>
      </c>
      <c r="U33" s="67">
        <f t="shared" si="1"/>
        <v>3.0045104030263392E-2</v>
      </c>
      <c r="V33" s="59"/>
      <c r="W33" s="59"/>
      <c r="Y33" s="62"/>
      <c r="AG33" s="175">
        <v>45649</v>
      </c>
      <c r="AH33" s="64">
        <v>621.15</v>
      </c>
      <c r="AI33" s="67">
        <f t="shared" si="2"/>
        <v>1.9180914251960557E-2</v>
      </c>
      <c r="AJ33" s="59"/>
      <c r="AK33" s="59"/>
      <c r="AM33" s="62"/>
      <c r="AU33" s="175">
        <v>45649</v>
      </c>
      <c r="AV33" s="64">
        <v>4707.6099999999997</v>
      </c>
      <c r="AW33" s="67">
        <f t="shared" si="4"/>
        <v>1.5155272538292408E-2</v>
      </c>
      <c r="AX33" s="67"/>
      <c r="AY33" s="67"/>
      <c r="AZ33" s="67"/>
      <c r="BA33" s="61"/>
      <c r="BB33" s="61"/>
      <c r="BD33" s="62"/>
    </row>
    <row r="34" spans="2:56" x14ac:dyDescent="0.3">
      <c r="B34" s="175">
        <v>45656</v>
      </c>
      <c r="C34" s="64">
        <v>2338.85</v>
      </c>
      <c r="D34" s="67">
        <f t="shared" si="3"/>
        <v>2.7763252141127515E-2</v>
      </c>
      <c r="E34" s="61"/>
      <c r="F34" s="64">
        <v>24004.75</v>
      </c>
      <c r="G34" s="67">
        <f t="shared" si="0"/>
        <v>8.035391838208783E-3</v>
      </c>
      <c r="M34" s="61"/>
      <c r="N34" s="61"/>
      <c r="O34" s="61"/>
      <c r="Q34" s="62"/>
      <c r="S34" s="175">
        <v>45656</v>
      </c>
      <c r="T34" s="64">
        <v>427.43</v>
      </c>
      <c r="U34" s="67">
        <f t="shared" si="1"/>
        <v>6.2622124914659683E-3</v>
      </c>
      <c r="V34" s="59"/>
      <c r="W34" s="59"/>
      <c r="Y34" s="62"/>
      <c r="AG34" s="175">
        <v>45656</v>
      </c>
      <c r="AH34" s="64">
        <v>648.91</v>
      </c>
      <c r="AI34" s="67">
        <f t="shared" si="2"/>
        <v>4.4691298398132462E-2</v>
      </c>
      <c r="AJ34" s="59"/>
      <c r="AK34" s="59"/>
      <c r="AM34" s="62"/>
      <c r="AU34" s="175">
        <v>45656</v>
      </c>
      <c r="AV34" s="64">
        <v>4771.57</v>
      </c>
      <c r="AW34" s="67">
        <f t="shared" si="4"/>
        <v>1.3586512051763089E-2</v>
      </c>
      <c r="AX34" s="67"/>
      <c r="AY34" s="67"/>
      <c r="AZ34" s="67"/>
      <c r="BA34" s="61"/>
      <c r="BB34" s="61"/>
      <c r="BD34" s="62"/>
    </row>
    <row r="35" spans="2:56" x14ac:dyDescent="0.3">
      <c r="B35" s="175">
        <v>45663</v>
      </c>
      <c r="C35" s="64">
        <v>2373.64</v>
      </c>
      <c r="D35" s="67">
        <f t="shared" si="3"/>
        <v>1.487483164803205E-2</v>
      </c>
      <c r="E35" s="61"/>
      <c r="F35" s="64">
        <v>23431.5</v>
      </c>
      <c r="G35" s="67">
        <f t="shared" si="0"/>
        <v>-2.3880690280048689E-2</v>
      </c>
      <c r="M35" s="61"/>
      <c r="N35" s="61"/>
      <c r="O35" s="61"/>
      <c r="Q35" s="62"/>
      <c r="S35" s="175">
        <v>45663</v>
      </c>
      <c r="T35" s="64">
        <v>410.06</v>
      </c>
      <c r="U35" s="67">
        <f t="shared" si="1"/>
        <v>-4.0638233160985471E-2</v>
      </c>
      <c r="V35" s="59"/>
      <c r="W35" s="59"/>
      <c r="Y35" s="62"/>
      <c r="AG35" s="175">
        <v>45663</v>
      </c>
      <c r="AH35" s="64">
        <v>593.54</v>
      </c>
      <c r="AI35" s="67">
        <f t="shared" si="2"/>
        <v>-8.5327703379513342E-2</v>
      </c>
      <c r="AJ35" s="59"/>
      <c r="AK35" s="59"/>
      <c r="AM35" s="62"/>
      <c r="AU35" s="175">
        <v>45663</v>
      </c>
      <c r="AV35" s="64">
        <v>4875.3100000000004</v>
      </c>
      <c r="AW35" s="67">
        <f t="shared" si="4"/>
        <v>2.1741271740747914E-2</v>
      </c>
      <c r="AX35" s="67"/>
      <c r="AY35" s="67"/>
      <c r="AZ35" s="67"/>
      <c r="BA35" s="61"/>
      <c r="BB35" s="61"/>
      <c r="BD35" s="62"/>
    </row>
    <row r="36" spans="2:56" x14ac:dyDescent="0.3">
      <c r="B36" s="175">
        <v>45670</v>
      </c>
      <c r="C36" s="64">
        <v>2288.06</v>
      </c>
      <c r="D36" s="67">
        <f t="shared" si="3"/>
        <v>-3.6054330058475581E-2</v>
      </c>
      <c r="E36" s="61"/>
      <c r="F36" s="64">
        <v>23203.200000000001</v>
      </c>
      <c r="G36" s="67">
        <f t="shared" si="0"/>
        <v>-9.7432942833365344E-3</v>
      </c>
      <c r="M36" s="61"/>
      <c r="N36" s="61"/>
      <c r="O36" s="61"/>
      <c r="Q36" s="62"/>
      <c r="S36" s="175">
        <v>45670</v>
      </c>
      <c r="T36" s="64">
        <v>405.73</v>
      </c>
      <c r="U36" s="67">
        <f t="shared" si="1"/>
        <v>-1.0559430327269137E-2</v>
      </c>
      <c r="V36" s="59"/>
      <c r="W36" s="59"/>
      <c r="Y36" s="62"/>
      <c r="AG36" s="175">
        <v>45670</v>
      </c>
      <c r="AH36" s="64">
        <v>553.54999999999995</v>
      </c>
      <c r="AI36" s="67">
        <f t="shared" si="2"/>
        <v>-6.7375408565555794E-2</v>
      </c>
      <c r="AJ36" s="59"/>
      <c r="AK36" s="59"/>
      <c r="AM36" s="62"/>
      <c r="AU36" s="175">
        <v>45670</v>
      </c>
      <c r="AV36" s="64">
        <v>4791.6099999999997</v>
      </c>
      <c r="AW36" s="67">
        <f t="shared" si="4"/>
        <v>-1.7168139051670694E-2</v>
      </c>
      <c r="AX36" s="67"/>
      <c r="AY36" s="67"/>
      <c r="AZ36" s="67"/>
      <c r="BA36" s="61"/>
      <c r="BB36" s="61"/>
      <c r="BD36" s="62"/>
    </row>
    <row r="37" spans="2:56" x14ac:dyDescent="0.3">
      <c r="B37" s="175">
        <v>45677</v>
      </c>
      <c r="C37" s="64">
        <v>2301.77</v>
      </c>
      <c r="D37" s="67">
        <f t="shared" si="3"/>
        <v>5.9919757349020664E-3</v>
      </c>
      <c r="E37" s="61"/>
      <c r="F37" s="64">
        <v>23092.2</v>
      </c>
      <c r="G37" s="67">
        <f t="shared" si="0"/>
        <v>-4.7838229209764549E-3</v>
      </c>
      <c r="M37" s="61"/>
      <c r="N37" s="61"/>
      <c r="O37" s="61"/>
      <c r="Q37" s="62"/>
      <c r="S37" s="175">
        <v>45677</v>
      </c>
      <c r="T37" s="64">
        <v>407.02</v>
      </c>
      <c r="U37" s="67">
        <f t="shared" si="1"/>
        <v>3.1794543169101352E-3</v>
      </c>
      <c r="V37" s="59"/>
      <c r="W37" s="59"/>
      <c r="Y37" s="62"/>
      <c r="AG37" s="175">
        <v>45677</v>
      </c>
      <c r="AH37" s="64">
        <v>538.97</v>
      </c>
      <c r="AI37" s="67">
        <f t="shared" si="2"/>
        <v>-2.6339084093577658E-2</v>
      </c>
      <c r="AJ37" s="59"/>
      <c r="AK37" s="59"/>
      <c r="AM37" s="62"/>
      <c r="AU37" s="175">
        <v>45677</v>
      </c>
      <c r="AV37" s="64">
        <v>5035.5600000000004</v>
      </c>
      <c r="AW37" s="67">
        <f t="shared" si="4"/>
        <v>5.0911906436458931E-2</v>
      </c>
      <c r="AX37" s="67"/>
      <c r="AY37" s="67"/>
      <c r="AZ37" s="67"/>
      <c r="BA37" s="61"/>
      <c r="BB37" s="61"/>
      <c r="BD37" s="62"/>
    </row>
    <row r="38" spans="2:56" x14ac:dyDescent="0.3">
      <c r="B38" s="175">
        <v>45684</v>
      </c>
      <c r="C38" s="64">
        <v>2435.85</v>
      </c>
      <c r="D38" s="67">
        <f t="shared" si="3"/>
        <v>5.8250824365596809E-2</v>
      </c>
      <c r="E38" s="61"/>
      <c r="F38" s="64">
        <v>23482.15</v>
      </c>
      <c r="G38" s="67">
        <f t="shared" si="0"/>
        <v>1.6886654368141629E-2</v>
      </c>
      <c r="M38" s="61"/>
      <c r="N38" s="61"/>
      <c r="O38" s="61"/>
      <c r="Q38" s="62"/>
      <c r="S38" s="175">
        <v>45684</v>
      </c>
      <c r="T38" s="64">
        <v>426.33</v>
      </c>
      <c r="U38" s="67">
        <f t="shared" si="1"/>
        <v>4.7442386123532021E-2</v>
      </c>
      <c r="V38" s="59"/>
      <c r="W38" s="59"/>
      <c r="Y38" s="62"/>
      <c r="AG38" s="175">
        <v>45684</v>
      </c>
      <c r="AH38" s="64">
        <v>558.57000000000005</v>
      </c>
      <c r="AI38" s="67">
        <f t="shared" si="2"/>
        <v>3.6365660426368906E-2</v>
      </c>
      <c r="AJ38" s="59"/>
      <c r="AK38" s="59"/>
      <c r="AM38" s="62"/>
      <c r="AU38" s="175">
        <v>45684</v>
      </c>
      <c r="AV38" s="64">
        <v>5134.07</v>
      </c>
      <c r="AW38" s="67">
        <f t="shared" si="4"/>
        <v>1.9562868876549899E-2</v>
      </c>
      <c r="AX38" s="67"/>
      <c r="AY38" s="67"/>
      <c r="AZ38" s="67"/>
      <c r="BA38" s="61"/>
      <c r="BB38" s="61"/>
      <c r="BD38" s="62"/>
    </row>
    <row r="39" spans="2:56" x14ac:dyDescent="0.3">
      <c r="B39" s="175">
        <v>45691</v>
      </c>
      <c r="C39" s="64">
        <v>2297.63</v>
      </c>
      <c r="D39" s="67">
        <f t="shared" si="3"/>
        <v>-5.6744052384177901E-2</v>
      </c>
      <c r="E39" s="61"/>
      <c r="F39" s="64">
        <v>23559.95</v>
      </c>
      <c r="G39" s="67">
        <f t="shared" si="0"/>
        <v>3.3131548857323612E-3</v>
      </c>
      <c r="M39" s="61"/>
      <c r="N39" s="61"/>
      <c r="O39" s="61"/>
      <c r="Q39" s="62"/>
      <c r="S39" s="175">
        <v>45691</v>
      </c>
      <c r="T39" s="64">
        <v>397.11</v>
      </c>
      <c r="U39" s="67">
        <f t="shared" si="1"/>
        <v>-6.853845612553644E-2</v>
      </c>
      <c r="V39" s="59"/>
      <c r="W39" s="59"/>
      <c r="Y39" s="62"/>
      <c r="AG39" s="175">
        <v>45691</v>
      </c>
      <c r="AH39" s="64">
        <v>550.91</v>
      </c>
      <c r="AI39" s="67">
        <f t="shared" si="2"/>
        <v>-1.3713590060332792E-2</v>
      </c>
      <c r="AJ39" s="59"/>
      <c r="AK39" s="59"/>
      <c r="AM39" s="62"/>
      <c r="AU39" s="175">
        <v>45691</v>
      </c>
      <c r="AV39" s="64">
        <v>4807.5</v>
      </c>
      <c r="AW39" s="67">
        <f t="shared" si="4"/>
        <v>-6.3608404248481132E-2</v>
      </c>
      <c r="AX39" s="67"/>
      <c r="AY39" s="67"/>
      <c r="AZ39" s="67"/>
      <c r="BA39" s="61"/>
      <c r="BB39" s="61"/>
      <c r="BD39" s="62"/>
    </row>
    <row r="40" spans="2:56" x14ac:dyDescent="0.3">
      <c r="B40" s="175">
        <v>45698</v>
      </c>
      <c r="C40" s="64">
        <v>2253.41</v>
      </c>
      <c r="D40" s="67">
        <f t="shared" si="3"/>
        <v>-1.9245918620491631E-2</v>
      </c>
      <c r="E40" s="61"/>
      <c r="F40" s="64">
        <v>22929.25</v>
      </c>
      <c r="G40" s="67">
        <f t="shared" si="0"/>
        <v>-2.6770005878620329E-2</v>
      </c>
      <c r="M40" s="61"/>
      <c r="N40" s="61"/>
      <c r="O40" s="61"/>
      <c r="Q40" s="62"/>
      <c r="S40" s="175">
        <v>45698</v>
      </c>
      <c r="T40" s="64">
        <v>378.13</v>
      </c>
      <c r="U40" s="67">
        <f t="shared" si="1"/>
        <v>-4.7795321195638563E-2</v>
      </c>
      <c r="V40" s="59"/>
      <c r="W40" s="59"/>
      <c r="Y40" s="62"/>
      <c r="AG40" s="175">
        <v>45698</v>
      </c>
      <c r="AH40" s="64">
        <v>486.09</v>
      </c>
      <c r="AI40" s="67">
        <f t="shared" si="2"/>
        <v>-0.11765987184839632</v>
      </c>
      <c r="AJ40" s="59"/>
      <c r="AK40" s="59"/>
      <c r="AM40" s="62"/>
      <c r="AU40" s="175">
        <v>45698</v>
      </c>
      <c r="AV40" s="64">
        <v>4875.75</v>
      </c>
      <c r="AW40" s="67">
        <f t="shared" si="4"/>
        <v>1.4196567862714504E-2</v>
      </c>
      <c r="AX40" s="67"/>
      <c r="AY40" s="67"/>
      <c r="AZ40" s="67"/>
      <c r="BA40" s="61"/>
      <c r="BB40" s="61"/>
      <c r="BD40" s="62"/>
    </row>
    <row r="41" spans="2:56" x14ac:dyDescent="0.3">
      <c r="B41" s="175">
        <v>45705</v>
      </c>
      <c r="C41" s="64">
        <v>2178.86</v>
      </c>
      <c r="D41" s="67">
        <f t="shared" si="3"/>
        <v>-3.3083193914999809E-2</v>
      </c>
      <c r="E41" s="61"/>
      <c r="F41" s="64">
        <v>22795.9</v>
      </c>
      <c r="G41" s="67">
        <f t="shared" si="0"/>
        <v>-5.8157157342695331E-3</v>
      </c>
      <c r="M41" s="61"/>
      <c r="N41" s="61"/>
      <c r="O41" s="61"/>
      <c r="Q41" s="62"/>
      <c r="S41" s="175">
        <v>45705</v>
      </c>
      <c r="T41" s="64">
        <v>375.34</v>
      </c>
      <c r="U41" s="67">
        <f t="shared" si="1"/>
        <v>-7.3784148308783104E-3</v>
      </c>
      <c r="V41" s="59"/>
      <c r="W41" s="59"/>
      <c r="Y41" s="62"/>
      <c r="AG41" s="175">
        <v>45705</v>
      </c>
      <c r="AH41" s="64">
        <v>475.24</v>
      </c>
      <c r="AI41" s="67">
        <f t="shared" si="2"/>
        <v>-2.2320969367812471E-2</v>
      </c>
      <c r="AJ41" s="59"/>
      <c r="AK41" s="59"/>
      <c r="AM41" s="62"/>
      <c r="AU41" s="175">
        <v>45705</v>
      </c>
      <c r="AV41" s="64">
        <v>4769.3999999999996</v>
      </c>
      <c r="AW41" s="67">
        <f t="shared" si="4"/>
        <v>-2.181202891862799E-2</v>
      </c>
      <c r="AX41" s="67"/>
      <c r="AY41" s="67"/>
      <c r="AZ41" s="67"/>
      <c r="BA41" s="61"/>
      <c r="BB41" s="61"/>
      <c r="BD41" s="62"/>
    </row>
    <row r="42" spans="2:56" x14ac:dyDescent="0.3">
      <c r="B42" s="175">
        <v>45712</v>
      </c>
      <c r="C42" s="64">
        <v>2128.9</v>
      </c>
      <c r="D42" s="67">
        <f t="shared" si="3"/>
        <v>-2.2929421807734385E-2</v>
      </c>
      <c r="E42" s="61"/>
      <c r="F42" s="64">
        <v>22124.7</v>
      </c>
      <c r="G42" s="67">
        <f t="shared" si="0"/>
        <v>-2.9443891226053842E-2</v>
      </c>
      <c r="M42" s="61"/>
      <c r="N42" s="61"/>
      <c r="O42" s="61"/>
      <c r="Q42" s="62"/>
      <c r="S42" s="175">
        <v>45712</v>
      </c>
      <c r="T42" s="64">
        <v>369.82</v>
      </c>
      <c r="U42" s="67">
        <f t="shared" si="1"/>
        <v>-1.4706665956199627E-2</v>
      </c>
      <c r="V42" s="59"/>
      <c r="W42" s="59"/>
      <c r="Y42" s="62"/>
      <c r="AG42" s="175">
        <v>45712</v>
      </c>
      <c r="AH42" s="64">
        <v>433.85</v>
      </c>
      <c r="AI42" s="67">
        <f t="shared" si="2"/>
        <v>-8.7092837303257231E-2</v>
      </c>
      <c r="AJ42" s="59"/>
      <c r="AK42" s="59"/>
      <c r="AM42" s="62"/>
      <c r="AU42" s="175">
        <v>45712</v>
      </c>
      <c r="AV42" s="64">
        <v>4536.01</v>
      </c>
      <c r="AW42" s="67">
        <f t="shared" si="4"/>
        <v>-4.8934876504381997E-2</v>
      </c>
      <c r="AX42" s="67"/>
      <c r="AY42" s="67"/>
      <c r="AZ42" s="67"/>
      <c r="BA42" s="61"/>
      <c r="BB42" s="61"/>
      <c r="BD42" s="62"/>
    </row>
    <row r="43" spans="2:56" x14ac:dyDescent="0.3">
      <c r="B43" s="175">
        <v>45719</v>
      </c>
      <c r="C43" s="64">
        <v>2142.8000000000002</v>
      </c>
      <c r="D43" s="67">
        <f t="shared" si="3"/>
        <v>6.5291934802009788E-3</v>
      </c>
      <c r="E43" s="60"/>
      <c r="F43" s="64">
        <v>22552.5</v>
      </c>
      <c r="G43" s="67">
        <f t="shared" si="0"/>
        <v>1.9335855401429125E-2</v>
      </c>
      <c r="M43" s="61"/>
      <c r="N43" s="61"/>
      <c r="O43" s="61"/>
      <c r="Q43" s="62"/>
      <c r="S43" s="175">
        <v>45719</v>
      </c>
      <c r="T43" s="64">
        <v>378.15</v>
      </c>
      <c r="U43" s="67">
        <f t="shared" si="1"/>
        <v>2.2524471364447463E-2</v>
      </c>
      <c r="V43" s="60"/>
      <c r="W43" s="60"/>
      <c r="Y43" s="60"/>
      <c r="AG43" s="175">
        <v>45719</v>
      </c>
      <c r="AH43" s="64">
        <v>485.29</v>
      </c>
      <c r="AI43" s="67">
        <f t="shared" si="2"/>
        <v>0.11856632476662443</v>
      </c>
      <c r="AJ43" s="59"/>
      <c r="AK43" s="59"/>
      <c r="AM43" s="62"/>
      <c r="AU43" s="175">
        <v>45719</v>
      </c>
      <c r="AV43" s="64">
        <v>4686.83</v>
      </c>
      <c r="AW43" s="67">
        <f t="shared" si="4"/>
        <v>3.3249485781556842E-2</v>
      </c>
      <c r="AX43" s="67"/>
      <c r="AY43" s="67"/>
      <c r="AZ43" s="67"/>
      <c r="BA43" s="61"/>
      <c r="BB43" s="61"/>
      <c r="BD43" s="62"/>
    </row>
    <row r="44" spans="2:56" x14ac:dyDescent="0.3">
      <c r="B44" s="175">
        <v>45726</v>
      </c>
      <c r="C44" s="64">
        <v>2113.88</v>
      </c>
      <c r="D44" s="67">
        <f t="shared" si="3"/>
        <v>-1.3496359902930744E-2</v>
      </c>
      <c r="E44" s="61"/>
      <c r="F44" s="64">
        <v>22397.200000000001</v>
      </c>
      <c r="G44" s="67">
        <f t="shared" si="0"/>
        <v>-6.8861545283227521E-3</v>
      </c>
      <c r="M44" s="61"/>
      <c r="N44" s="61"/>
      <c r="O44" s="61"/>
      <c r="Q44" s="62"/>
      <c r="S44" s="175">
        <v>45726</v>
      </c>
      <c r="T44" s="64">
        <v>385.78</v>
      </c>
      <c r="U44" s="67">
        <f t="shared" si="1"/>
        <v>2.0177178368372406E-2</v>
      </c>
      <c r="V44" s="59"/>
      <c r="W44" s="59"/>
      <c r="Y44" s="62"/>
      <c r="AG44" s="175">
        <v>45726</v>
      </c>
      <c r="AH44" s="64">
        <v>485.69</v>
      </c>
      <c r="AI44" s="67">
        <f t="shared" si="2"/>
        <v>8.2424941787384576E-4</v>
      </c>
      <c r="AJ44" s="59"/>
      <c r="AK44" s="59"/>
      <c r="AM44" s="62"/>
      <c r="AU44" s="175">
        <v>45726</v>
      </c>
      <c r="AV44" s="64">
        <v>4667.09</v>
      </c>
      <c r="AW44" s="67">
        <f t="shared" si="4"/>
        <v>-4.2118020069001894E-3</v>
      </c>
      <c r="AX44" s="67"/>
      <c r="AY44" s="67"/>
      <c r="AZ44" s="67"/>
      <c r="BA44" s="61"/>
      <c r="BB44" s="61"/>
      <c r="BD44" s="62"/>
    </row>
    <row r="45" spans="2:56" x14ac:dyDescent="0.3">
      <c r="B45" s="175">
        <v>45733</v>
      </c>
      <c r="C45" s="64">
        <v>2183.2800000000002</v>
      </c>
      <c r="D45" s="67">
        <f t="shared" si="3"/>
        <v>3.2830624254924556E-2</v>
      </c>
      <c r="E45" s="61"/>
      <c r="F45" s="64">
        <v>23350.400000000001</v>
      </c>
      <c r="G45" s="67">
        <f t="shared" si="0"/>
        <v>4.2558891289982803E-2</v>
      </c>
      <c r="M45" s="61"/>
      <c r="N45" s="61"/>
      <c r="O45" s="61"/>
      <c r="Q45" s="62"/>
      <c r="S45" s="175">
        <v>45733</v>
      </c>
      <c r="T45" s="64">
        <v>379.69</v>
      </c>
      <c r="U45" s="67">
        <f t="shared" si="1"/>
        <v>-1.578619938825232E-2</v>
      </c>
      <c r="V45" s="59"/>
      <c r="W45" s="59"/>
      <c r="Y45" s="62"/>
      <c r="AG45" s="175">
        <v>45733</v>
      </c>
      <c r="AH45" s="64">
        <v>535.24</v>
      </c>
      <c r="AI45" s="67">
        <f t="shared" si="2"/>
        <v>0.10201980687269652</v>
      </c>
      <c r="AJ45" s="59"/>
      <c r="AK45" s="59"/>
      <c r="AM45" s="62"/>
      <c r="AU45" s="175">
        <v>45733</v>
      </c>
      <c r="AV45" s="64">
        <v>4751.7299999999996</v>
      </c>
      <c r="AW45" s="67">
        <f t="shared" si="4"/>
        <v>1.8135497708422044E-2</v>
      </c>
      <c r="AX45" s="67"/>
      <c r="AY45" s="67"/>
      <c r="AZ45" s="67"/>
      <c r="BA45" s="60"/>
      <c r="BB45" s="60"/>
      <c r="BD45" s="60"/>
    </row>
    <row r="46" spans="2:56" x14ac:dyDescent="0.3">
      <c r="B46" s="175">
        <v>45740</v>
      </c>
      <c r="C46" s="64">
        <v>2195.58</v>
      </c>
      <c r="D46" s="67">
        <f t="shared" si="3"/>
        <v>5.6337254039791063E-3</v>
      </c>
      <c r="E46" s="61"/>
      <c r="F46" s="64">
        <v>23519.35</v>
      </c>
      <c r="G46" s="67">
        <f t="shared" si="0"/>
        <v>7.2354220912702605E-3</v>
      </c>
      <c r="M46" s="61"/>
      <c r="N46" s="61"/>
      <c r="O46" s="61"/>
      <c r="Q46" s="62"/>
      <c r="S46" s="175">
        <v>45740</v>
      </c>
      <c r="T46" s="64">
        <v>383.63</v>
      </c>
      <c r="U46" s="67">
        <f t="shared" si="1"/>
        <v>1.0376886407332364E-2</v>
      </c>
      <c r="V46" s="59"/>
      <c r="W46" s="59"/>
      <c r="Y46" s="62"/>
      <c r="AG46" s="175">
        <v>45740</v>
      </c>
      <c r="AH46" s="64">
        <v>536.92999999999995</v>
      </c>
      <c r="AI46" s="67">
        <f t="shared" si="2"/>
        <v>3.157462073088535E-3</v>
      </c>
      <c r="AJ46" s="59"/>
      <c r="AK46" s="59"/>
      <c r="AM46" s="62"/>
      <c r="AU46" s="175">
        <v>45740</v>
      </c>
      <c r="AV46" s="64">
        <v>4873.04</v>
      </c>
      <c r="AW46" s="67">
        <f t="shared" si="4"/>
        <v>2.5529649201448734E-2</v>
      </c>
      <c r="AX46" s="67"/>
      <c r="AY46" s="67"/>
      <c r="AZ46" s="67"/>
      <c r="BA46" s="61"/>
      <c r="BB46" s="61"/>
      <c r="BD46" s="62"/>
    </row>
    <row r="47" spans="2:56" x14ac:dyDescent="0.3">
      <c r="B47" s="175">
        <v>45747</v>
      </c>
      <c r="C47" s="64">
        <v>2181.6799999999998</v>
      </c>
      <c r="D47" s="67">
        <f t="shared" si="3"/>
        <v>-6.3309011741772281E-3</v>
      </c>
      <c r="E47" s="61"/>
      <c r="F47" s="64">
        <v>22904.45</v>
      </c>
      <c r="G47" s="67">
        <f t="shared" si="0"/>
        <v>-2.6144430011883713E-2</v>
      </c>
      <c r="M47" s="61"/>
      <c r="N47" s="61"/>
      <c r="O47" s="61"/>
      <c r="Q47" s="62"/>
      <c r="S47" s="175">
        <v>45747</v>
      </c>
      <c r="T47" s="64">
        <v>383.58</v>
      </c>
      <c r="U47" s="67">
        <f t="shared" si="1"/>
        <v>-1.3033391549155393E-4</v>
      </c>
      <c r="V47" s="59"/>
      <c r="W47" s="59"/>
      <c r="Y47" s="62"/>
      <c r="AG47" s="175">
        <v>45747</v>
      </c>
      <c r="AH47" s="64">
        <v>532.75</v>
      </c>
      <c r="AI47" s="67">
        <f t="shared" si="2"/>
        <v>-7.7849999068778653E-3</v>
      </c>
      <c r="AJ47" s="59"/>
      <c r="AK47" s="59"/>
      <c r="AM47" s="62"/>
      <c r="AU47" s="175">
        <v>45747</v>
      </c>
      <c r="AV47" s="64">
        <v>4958.42</v>
      </c>
      <c r="AW47" s="67">
        <f t="shared" si="4"/>
        <v>1.7520890450314353E-2</v>
      </c>
      <c r="AX47" s="67"/>
      <c r="AY47" s="67"/>
      <c r="AZ47" s="67"/>
      <c r="BA47" s="61"/>
      <c r="BB47" s="61"/>
      <c r="BD47" s="62"/>
    </row>
    <row r="48" spans="2:56" x14ac:dyDescent="0.3">
      <c r="B48" s="175">
        <v>45754</v>
      </c>
      <c r="C48" s="64">
        <v>2299.87</v>
      </c>
      <c r="D48" s="67">
        <f t="shared" si="3"/>
        <v>5.4173847677019493E-2</v>
      </c>
      <c r="E48" s="61"/>
      <c r="F48" s="64">
        <v>22828.55</v>
      </c>
      <c r="G48" s="67">
        <f t="shared" si="0"/>
        <v>-3.3137665388167648E-3</v>
      </c>
      <c r="M48" s="61"/>
      <c r="N48" s="61"/>
      <c r="O48" s="61"/>
      <c r="Q48" s="62"/>
      <c r="S48" s="175">
        <v>45754</v>
      </c>
      <c r="T48" s="64">
        <v>394.67</v>
      </c>
      <c r="U48" s="67">
        <f t="shared" si="1"/>
        <v>2.8911830648104875E-2</v>
      </c>
      <c r="V48" s="59"/>
      <c r="W48" s="59"/>
      <c r="Y48" s="62"/>
      <c r="AG48" s="175">
        <v>45754</v>
      </c>
      <c r="AH48" s="64">
        <v>543.5</v>
      </c>
      <c r="AI48" s="67">
        <f t="shared" si="2"/>
        <v>2.0178320037541164E-2</v>
      </c>
      <c r="AJ48" s="59"/>
      <c r="AK48" s="59"/>
      <c r="AM48" s="62"/>
      <c r="AU48" s="175">
        <v>45754</v>
      </c>
      <c r="AV48" s="64">
        <v>5280.99</v>
      </c>
      <c r="AW48" s="67">
        <f t="shared" si="4"/>
        <v>6.5054997358029221E-2</v>
      </c>
      <c r="AX48" s="67"/>
      <c r="AY48" s="67"/>
      <c r="AZ48" s="67"/>
      <c r="BA48" s="61"/>
      <c r="BB48" s="61"/>
      <c r="BD48" s="62"/>
    </row>
    <row r="49" spans="2:56" x14ac:dyDescent="0.3">
      <c r="B49" s="175">
        <v>45761</v>
      </c>
      <c r="C49" s="64">
        <v>2308.4699999999998</v>
      </c>
      <c r="D49" s="67">
        <f t="shared" si="3"/>
        <v>3.7393417888835767E-3</v>
      </c>
      <c r="E49" s="61"/>
      <c r="F49" s="64">
        <v>23851.65</v>
      </c>
      <c r="G49" s="67">
        <f t="shared" si="0"/>
        <v>4.4816687875489425E-2</v>
      </c>
      <c r="M49" s="61"/>
      <c r="N49" s="61"/>
      <c r="O49" s="61"/>
      <c r="Q49" s="62"/>
      <c r="S49" s="175">
        <v>45761</v>
      </c>
      <c r="T49" s="64">
        <v>400.01</v>
      </c>
      <c r="U49" s="67">
        <f t="shared" si="1"/>
        <v>1.3530291129297822E-2</v>
      </c>
      <c r="V49" s="59"/>
      <c r="W49" s="59"/>
      <c r="Y49" s="62"/>
      <c r="AG49" s="175">
        <v>45761</v>
      </c>
      <c r="AH49" s="64">
        <v>554.45000000000005</v>
      </c>
      <c r="AI49" s="67">
        <f t="shared" si="2"/>
        <v>2.0147194112235534E-2</v>
      </c>
      <c r="AJ49" s="59"/>
      <c r="AK49" s="59"/>
      <c r="AM49" s="62"/>
      <c r="AU49" s="175">
        <v>45761</v>
      </c>
      <c r="AV49" s="64">
        <v>5384.04</v>
      </c>
      <c r="AW49" s="67">
        <f t="shared" si="4"/>
        <v>1.951338669454028E-2</v>
      </c>
      <c r="AX49" s="67"/>
      <c r="AY49" s="67"/>
      <c r="AZ49" s="67"/>
      <c r="BA49" s="61"/>
      <c r="BB49" s="61"/>
      <c r="BD49" s="62"/>
    </row>
    <row r="50" spans="2:56" x14ac:dyDescent="0.3">
      <c r="B50" s="175">
        <v>45768</v>
      </c>
      <c r="C50" s="64">
        <v>2266.87</v>
      </c>
      <c r="D50" s="67">
        <f t="shared" si="3"/>
        <v>-1.8020593726580825E-2</v>
      </c>
      <c r="E50" s="61"/>
      <c r="F50" s="64">
        <v>24039.35</v>
      </c>
      <c r="G50" s="67">
        <f t="shared" si="0"/>
        <v>7.86947653516612E-3</v>
      </c>
      <c r="M50" s="61"/>
      <c r="N50" s="61"/>
      <c r="O50" s="61"/>
      <c r="Q50" s="62"/>
      <c r="S50" s="175">
        <v>45768</v>
      </c>
      <c r="T50" s="64">
        <v>400.53</v>
      </c>
      <c r="U50" s="67">
        <f t="shared" si="1"/>
        <v>1.2999675008125156E-3</v>
      </c>
      <c r="V50" s="59"/>
      <c r="W50" s="59"/>
      <c r="Y50" s="62"/>
      <c r="AG50" s="175">
        <v>45768</v>
      </c>
      <c r="AH50" s="64">
        <v>519.79999999999995</v>
      </c>
      <c r="AI50" s="67">
        <f t="shared" si="2"/>
        <v>-6.249436378393014E-2</v>
      </c>
      <c r="AJ50" s="59"/>
      <c r="AK50" s="59"/>
      <c r="AM50" s="62"/>
      <c r="AU50" s="175">
        <v>45768</v>
      </c>
      <c r="AV50" s="64">
        <v>5350.38</v>
      </c>
      <c r="AW50" s="67">
        <f t="shared" si="4"/>
        <v>-6.2518109077941419E-3</v>
      </c>
      <c r="AX50" s="67"/>
      <c r="AY50" s="67"/>
      <c r="AZ50" s="67"/>
      <c r="BA50" s="61"/>
      <c r="BB50" s="61"/>
      <c r="BD50" s="62"/>
    </row>
    <row r="51" spans="2:56" x14ac:dyDescent="0.3">
      <c r="B51" s="175">
        <v>45775</v>
      </c>
      <c r="C51" s="64">
        <v>2253.65</v>
      </c>
      <c r="D51" s="67">
        <f t="shared" si="3"/>
        <v>-5.8318297917391293E-3</v>
      </c>
      <c r="E51" s="61"/>
      <c r="F51" s="64">
        <v>24346.7</v>
      </c>
      <c r="G51" s="67">
        <f t="shared" si="0"/>
        <v>1.2785287455775673E-2</v>
      </c>
      <c r="M51" s="61"/>
      <c r="N51" s="61"/>
      <c r="O51" s="61"/>
      <c r="Q51" s="62"/>
      <c r="S51" s="175">
        <v>45775</v>
      </c>
      <c r="T51" s="64">
        <v>402.12</v>
      </c>
      <c r="U51" s="67">
        <f t="shared" si="1"/>
        <v>3.9697400943750072E-3</v>
      </c>
      <c r="V51" s="59"/>
      <c r="W51" s="59"/>
      <c r="Y51" s="62"/>
      <c r="AG51" s="175">
        <v>45775</v>
      </c>
      <c r="AH51" s="64">
        <v>519.70000000000005</v>
      </c>
      <c r="AI51" s="67">
        <f t="shared" si="2"/>
        <v>-1.923816852633653E-4</v>
      </c>
      <c r="AJ51" s="59"/>
      <c r="AK51" s="59"/>
      <c r="AM51" s="62"/>
      <c r="AU51" s="175">
        <v>45775</v>
      </c>
      <c r="AV51" s="64">
        <v>5232.43</v>
      </c>
      <c r="AW51" s="67">
        <f t="shared" si="4"/>
        <v>-2.2045163147290436E-2</v>
      </c>
      <c r="AX51" s="67"/>
      <c r="AY51" s="67"/>
      <c r="AZ51" s="67"/>
      <c r="BA51" s="61"/>
      <c r="BB51" s="61"/>
      <c r="BD51" s="62"/>
    </row>
    <row r="52" spans="2:56" x14ac:dyDescent="0.3">
      <c r="B52" s="175">
        <v>45782</v>
      </c>
      <c r="C52" s="64">
        <v>2267.5500000000002</v>
      </c>
      <c r="D52" s="67">
        <f t="shared" si="3"/>
        <v>6.1677722805226765E-3</v>
      </c>
      <c r="E52" s="61"/>
      <c r="F52" s="64">
        <v>24008</v>
      </c>
      <c r="G52" s="67">
        <f t="shared" si="0"/>
        <v>-1.391153626569519E-2</v>
      </c>
      <c r="M52" s="61"/>
      <c r="N52" s="61"/>
      <c r="O52" s="61"/>
      <c r="Q52" s="62"/>
      <c r="S52" s="175">
        <v>45782</v>
      </c>
      <c r="T52" s="64">
        <v>396.55</v>
      </c>
      <c r="U52" s="67">
        <f t="shared" si="1"/>
        <v>-1.3851586591067333E-2</v>
      </c>
      <c r="V52" s="59"/>
      <c r="W52" s="59"/>
      <c r="Y52" s="62"/>
      <c r="AG52" s="175">
        <v>45782</v>
      </c>
      <c r="AH52" s="64">
        <v>494.2</v>
      </c>
      <c r="AI52" s="67">
        <f t="shared" si="2"/>
        <v>-4.906676928997511E-2</v>
      </c>
      <c r="AJ52" s="59"/>
      <c r="AK52" s="59"/>
      <c r="AM52" s="62"/>
      <c r="AU52" s="175">
        <v>45782</v>
      </c>
      <c r="AV52" s="64">
        <v>5365.68</v>
      </c>
      <c r="AW52" s="67">
        <f t="shared" si="4"/>
        <v>2.5466179193988303E-2</v>
      </c>
      <c r="AX52" s="67"/>
      <c r="AY52" s="67"/>
      <c r="AZ52" s="67"/>
      <c r="BA52" s="61"/>
      <c r="BB52" s="61"/>
      <c r="BD52" s="62"/>
    </row>
    <row r="53" spans="2:56" x14ac:dyDescent="0.3">
      <c r="B53" s="175">
        <v>45789</v>
      </c>
      <c r="C53" s="64">
        <v>2314.69</v>
      </c>
      <c r="D53" s="67">
        <f t="shared" si="3"/>
        <v>2.0788957244603168E-2</v>
      </c>
      <c r="E53" s="61"/>
      <c r="F53" s="64">
        <v>25019.8</v>
      </c>
      <c r="G53" s="67">
        <f t="shared" si="0"/>
        <v>4.2144285238253865E-2</v>
      </c>
      <c r="M53" s="61"/>
      <c r="N53" s="61"/>
      <c r="O53" s="61"/>
      <c r="Q53" s="62"/>
      <c r="S53" s="175">
        <v>45789</v>
      </c>
      <c r="T53" s="64">
        <v>407.92</v>
      </c>
      <c r="U53" s="67">
        <f t="shared" si="1"/>
        <v>2.8672298575211252E-2</v>
      </c>
      <c r="V53" s="59"/>
      <c r="W53" s="59"/>
      <c r="Y53" s="62"/>
      <c r="AG53" s="175">
        <v>45789</v>
      </c>
      <c r="AH53" s="64">
        <v>500.07</v>
      </c>
      <c r="AI53" s="67">
        <f t="shared" si="2"/>
        <v>1.1877782274382742E-2</v>
      </c>
      <c r="AJ53" s="59"/>
      <c r="AK53" s="59"/>
      <c r="AM53" s="62"/>
      <c r="AU53" s="175">
        <v>45789</v>
      </c>
      <c r="AV53" s="64">
        <v>5430.34</v>
      </c>
      <c r="AW53" s="67">
        <f t="shared" si="4"/>
        <v>1.205066273053923E-2</v>
      </c>
      <c r="AX53" s="67"/>
      <c r="AY53" s="67"/>
      <c r="AZ53" s="67"/>
      <c r="BA53" s="61"/>
      <c r="BB53" s="61"/>
      <c r="BD53" s="62"/>
    </row>
    <row r="54" spans="2:56" x14ac:dyDescent="0.3">
      <c r="B54" s="175">
        <v>45796</v>
      </c>
      <c r="C54" s="64">
        <v>2293.11</v>
      </c>
      <c r="D54" s="67">
        <f t="shared" si="3"/>
        <v>-9.3230626995407517E-3</v>
      </c>
      <c r="E54" s="61"/>
      <c r="F54" s="64">
        <v>24853.15</v>
      </c>
      <c r="G54" s="67">
        <f t="shared" si="0"/>
        <v>-6.660724706032739E-3</v>
      </c>
      <c r="M54" s="61"/>
      <c r="N54" s="61"/>
      <c r="O54" s="61"/>
      <c r="Q54" s="62"/>
      <c r="S54" s="175">
        <v>45796</v>
      </c>
      <c r="T54" s="64">
        <v>408.48</v>
      </c>
      <c r="U54" s="67">
        <f t="shared" si="1"/>
        <v>1.3728181996470745E-3</v>
      </c>
      <c r="V54" s="59"/>
      <c r="W54" s="59"/>
      <c r="Y54" s="62"/>
      <c r="AG54" s="175">
        <v>45796</v>
      </c>
      <c r="AH54" s="64">
        <v>487.21</v>
      </c>
      <c r="AI54" s="67">
        <f t="shared" si="2"/>
        <v>-2.5716399704041493E-2</v>
      </c>
      <c r="AJ54" s="59"/>
      <c r="AK54" s="59"/>
      <c r="AM54" s="62"/>
      <c r="AU54" s="175">
        <v>45796</v>
      </c>
      <c r="AV54" s="64">
        <v>5415.53</v>
      </c>
      <c r="AW54" s="67">
        <f t="shared" si="4"/>
        <v>-2.7272693790812985E-3</v>
      </c>
      <c r="AX54" s="67"/>
      <c r="AY54" s="67"/>
      <c r="AZ54" s="67"/>
      <c r="BA54" s="61"/>
      <c r="BB54" s="61"/>
      <c r="BD54" s="62"/>
    </row>
    <row r="55" spans="2:56" x14ac:dyDescent="0.3">
      <c r="B55" s="175">
        <v>45803</v>
      </c>
      <c r="C55" s="64">
        <v>2282.52</v>
      </c>
      <c r="D55" s="67">
        <f t="shared" si="3"/>
        <v>-4.6181822939153072E-3</v>
      </c>
      <c r="E55" s="61"/>
      <c r="F55" s="64">
        <v>24750.7</v>
      </c>
      <c r="G55" s="67">
        <f t="shared" si="0"/>
        <v>-4.1222138843567402E-3</v>
      </c>
      <c r="M55" s="61"/>
      <c r="N55" s="61"/>
      <c r="O55" s="61"/>
      <c r="Q55" s="62"/>
      <c r="S55" s="175">
        <v>45803</v>
      </c>
      <c r="T55" s="64">
        <v>391.4</v>
      </c>
      <c r="U55" s="67">
        <f t="shared" si="1"/>
        <v>-4.1813552683118038E-2</v>
      </c>
      <c r="V55" s="59"/>
      <c r="W55" s="59"/>
      <c r="Y55" s="62"/>
      <c r="AG55" s="175">
        <v>45803</v>
      </c>
      <c r="AH55" s="64">
        <v>474.45</v>
      </c>
      <c r="AI55" s="67">
        <f t="shared" si="2"/>
        <v>-2.6189938630159504E-2</v>
      </c>
      <c r="AJ55" s="59"/>
      <c r="AK55" s="59"/>
      <c r="AM55" s="62"/>
      <c r="AU55" s="175">
        <v>45803</v>
      </c>
      <c r="AV55" s="64">
        <v>5439.22</v>
      </c>
      <c r="AW55" s="67">
        <f t="shared" si="4"/>
        <v>4.3744564243943795E-3</v>
      </c>
      <c r="AX55" s="67"/>
      <c r="AY55" s="67"/>
      <c r="AZ55" s="67"/>
      <c r="BA55" s="61"/>
      <c r="BB55" s="61"/>
      <c r="BD55" s="62"/>
    </row>
    <row r="56" spans="2:56" x14ac:dyDescent="0.3">
      <c r="B56" s="175">
        <v>45810</v>
      </c>
      <c r="C56" s="64">
        <v>2322.86</v>
      </c>
      <c r="D56" s="67">
        <f t="shared" si="3"/>
        <v>1.7673448644480727E-2</v>
      </c>
      <c r="E56" s="61"/>
      <c r="F56" s="64">
        <v>25003.05</v>
      </c>
      <c r="G56" s="67">
        <f t="shared" si="0"/>
        <v>1.0195671233540704E-2</v>
      </c>
      <c r="M56" s="61"/>
      <c r="N56" s="61"/>
      <c r="O56" s="61"/>
      <c r="Q56" s="62"/>
      <c r="S56" s="175">
        <v>45810</v>
      </c>
      <c r="T56" s="64">
        <v>401.47</v>
      </c>
      <c r="U56" s="67">
        <f t="shared" si="1"/>
        <v>2.572815533980588E-2</v>
      </c>
      <c r="V56" s="59"/>
      <c r="W56" s="59"/>
      <c r="Y56" s="62"/>
      <c r="AG56" s="175">
        <v>45810</v>
      </c>
      <c r="AH56" s="64">
        <v>475.49</v>
      </c>
      <c r="AI56" s="67">
        <f t="shared" si="2"/>
        <v>2.1920118031404368E-3</v>
      </c>
      <c r="AJ56" s="59"/>
      <c r="AK56" s="59"/>
      <c r="AM56" s="62"/>
      <c r="AU56" s="175">
        <v>45810</v>
      </c>
      <c r="AV56" s="64">
        <v>5534.96</v>
      </c>
      <c r="AW56" s="67">
        <f t="shared" si="4"/>
        <v>1.7601788491732329E-2</v>
      </c>
      <c r="AX56" s="67"/>
      <c r="AY56" s="67"/>
      <c r="AZ56" s="67"/>
      <c r="BA56" s="61"/>
      <c r="BB56" s="61"/>
      <c r="BD56" s="62"/>
    </row>
    <row r="57" spans="2:56" x14ac:dyDescent="0.3">
      <c r="B57" s="175">
        <v>45817</v>
      </c>
      <c r="C57" s="64">
        <v>2254.04</v>
      </c>
      <c r="D57" s="67">
        <f t="shared" si="3"/>
        <v>-2.9627269831156489E-2</v>
      </c>
      <c r="E57" s="61"/>
      <c r="F57" s="64">
        <v>24718.6</v>
      </c>
      <c r="G57" s="67">
        <f t="shared" si="0"/>
        <v>-1.1376612053329516E-2</v>
      </c>
      <c r="M57" s="61"/>
      <c r="N57" s="61"/>
      <c r="O57" s="61"/>
      <c r="Q57" s="62"/>
      <c r="S57" s="175">
        <v>45817</v>
      </c>
      <c r="T57" s="64">
        <v>394.65</v>
      </c>
      <c r="U57" s="67">
        <f t="shared" si="1"/>
        <v>-1.6987570677759356E-2</v>
      </c>
      <c r="V57" s="59"/>
      <c r="W57" s="59"/>
      <c r="Y57" s="62"/>
      <c r="AG57" s="175">
        <v>45817</v>
      </c>
      <c r="AH57" s="64">
        <v>468.42</v>
      </c>
      <c r="AI57" s="67">
        <f t="shared" si="2"/>
        <v>-1.4868872110875064E-2</v>
      </c>
      <c r="AJ57" s="59"/>
      <c r="AK57" s="59"/>
      <c r="AM57" s="62"/>
      <c r="AU57" s="175">
        <v>45817</v>
      </c>
      <c r="AV57" s="64">
        <v>5497.95</v>
      </c>
      <c r="AW57" s="67">
        <f t="shared" si="4"/>
        <v>-6.6865885209649312E-3</v>
      </c>
      <c r="AX57" s="67"/>
      <c r="AY57" s="67"/>
      <c r="AZ57" s="67"/>
      <c r="BA57" s="61"/>
      <c r="BB57" s="61"/>
      <c r="BD57" s="62"/>
    </row>
    <row r="58" spans="2:56" x14ac:dyDescent="0.3">
      <c r="B58" s="175">
        <v>45824</v>
      </c>
      <c r="C58" s="64">
        <v>2241.6</v>
      </c>
      <c r="D58" s="67">
        <f t="shared" si="3"/>
        <v>-5.5189792550265349E-3</v>
      </c>
      <c r="E58" s="61"/>
      <c r="F58" s="64">
        <v>25112.400000000001</v>
      </c>
      <c r="G58" s="67">
        <f t="shared" si="0"/>
        <v>1.5931322971365791E-2</v>
      </c>
      <c r="M58" s="61"/>
      <c r="N58" s="61"/>
      <c r="O58" s="61"/>
      <c r="Q58" s="62"/>
      <c r="S58" s="175">
        <v>45824</v>
      </c>
      <c r="T58" s="64">
        <v>399.09</v>
      </c>
      <c r="U58" s="67">
        <f t="shared" si="1"/>
        <v>1.1250475104523039E-2</v>
      </c>
      <c r="V58" s="59"/>
      <c r="W58" s="59"/>
      <c r="Y58" s="62"/>
      <c r="AG58" s="175">
        <v>45824</v>
      </c>
      <c r="AH58" s="64">
        <v>458.15</v>
      </c>
      <c r="AI58" s="67">
        <f t="shared" si="2"/>
        <v>-2.1924768370266134E-2</v>
      </c>
      <c r="AJ58" s="59"/>
      <c r="AK58" s="59"/>
      <c r="AM58" s="62"/>
      <c r="AU58" s="175">
        <v>45824</v>
      </c>
      <c r="AV58" s="64">
        <v>5514.73</v>
      </c>
      <c r="AW58" s="67">
        <f t="shared" si="4"/>
        <v>3.0520466719412553E-3</v>
      </c>
      <c r="AX58" s="67"/>
      <c r="AY58" s="67"/>
      <c r="AZ58" s="67"/>
      <c r="BA58" s="61"/>
      <c r="BB58" s="61"/>
      <c r="BD58" s="62"/>
    </row>
    <row r="59" spans="2:56" x14ac:dyDescent="0.3">
      <c r="B59" s="175">
        <v>45831</v>
      </c>
      <c r="C59" s="64">
        <v>2242.2800000000002</v>
      </c>
      <c r="D59" s="67">
        <f t="shared" si="3"/>
        <v>3.0335474660958539E-4</v>
      </c>
      <c r="E59" s="61"/>
      <c r="F59" s="64">
        <v>25637.8</v>
      </c>
      <c r="G59" s="67">
        <f t="shared" si="0"/>
        <v>2.092193498032846E-2</v>
      </c>
      <c r="M59" s="61"/>
      <c r="N59" s="61"/>
      <c r="O59" s="61"/>
      <c r="Q59" s="62"/>
      <c r="S59" s="175">
        <v>45831</v>
      </c>
      <c r="T59" s="64">
        <v>399.18</v>
      </c>
      <c r="U59" s="67">
        <f t="shared" si="1"/>
        <v>2.2551304217111046E-4</v>
      </c>
      <c r="V59" s="59"/>
      <c r="W59" s="59"/>
      <c r="Y59" s="62"/>
      <c r="AG59" s="175">
        <v>45831</v>
      </c>
      <c r="AH59" s="64">
        <v>460.14</v>
      </c>
      <c r="AI59" s="67">
        <f t="shared" si="2"/>
        <v>4.3435556040598566E-3</v>
      </c>
      <c r="AJ59" s="59"/>
      <c r="AK59" s="59"/>
      <c r="AM59" s="62"/>
      <c r="AU59" s="175">
        <v>45831</v>
      </c>
      <c r="AV59" s="64">
        <v>5719.54</v>
      </c>
      <c r="AW59" s="67">
        <f t="shared" si="4"/>
        <v>3.7138717580008418E-2</v>
      </c>
      <c r="AX59" s="67"/>
      <c r="AY59" s="67"/>
      <c r="AZ59" s="67"/>
      <c r="BA59" s="61"/>
      <c r="BB59" s="61"/>
      <c r="BD59" s="62"/>
    </row>
    <row r="60" spans="2:56" x14ac:dyDescent="0.3">
      <c r="B60" s="175">
        <v>45838</v>
      </c>
      <c r="C60" s="64">
        <v>2297.6799999999998</v>
      </c>
      <c r="D60" s="67">
        <f t="shared" si="3"/>
        <v>2.4706994666143123E-2</v>
      </c>
      <c r="E60" s="61"/>
      <c r="F60" s="64">
        <v>25461</v>
      </c>
      <c r="G60" s="67">
        <f t="shared" si="0"/>
        <v>-6.8960675252947023E-3</v>
      </c>
      <c r="M60" s="61"/>
      <c r="N60" s="61"/>
      <c r="O60" s="61"/>
      <c r="Q60" s="62"/>
      <c r="S60" s="175">
        <v>45838</v>
      </c>
      <c r="T60" s="64">
        <v>393.36</v>
      </c>
      <c r="U60" s="67">
        <f t="shared" si="1"/>
        <v>-1.4579888771982574E-2</v>
      </c>
      <c r="V60" s="59"/>
      <c r="W60" s="59"/>
      <c r="Y60" s="62"/>
      <c r="AG60" s="175">
        <v>45838</v>
      </c>
      <c r="AH60" s="64">
        <v>454.71</v>
      </c>
      <c r="AI60" s="67">
        <f t="shared" si="2"/>
        <v>-1.1800756291563408E-2</v>
      </c>
      <c r="AJ60" s="59"/>
      <c r="AK60" s="59"/>
      <c r="AM60" s="62"/>
      <c r="AU60" s="175">
        <v>45838</v>
      </c>
      <c r="AV60" s="64">
        <v>5696.84</v>
      </c>
      <c r="AW60" s="67">
        <f t="shared" si="4"/>
        <v>-3.9688506418348313E-3</v>
      </c>
      <c r="AX60" s="67"/>
      <c r="AY60" s="67"/>
      <c r="AZ60" s="67"/>
      <c r="BA60" s="61"/>
      <c r="BB60" s="61"/>
      <c r="BD60" s="62"/>
    </row>
    <row r="61" spans="2:56" x14ac:dyDescent="0.3">
      <c r="B61" s="175">
        <v>45845</v>
      </c>
      <c r="C61" s="64">
        <v>2474.7800000000002</v>
      </c>
      <c r="D61" s="67">
        <f t="shared" si="3"/>
        <v>7.7077747989276357E-2</v>
      </c>
      <c r="E61" s="61"/>
      <c r="F61" s="64">
        <v>25149.85</v>
      </c>
      <c r="G61" s="67">
        <f t="shared" si="0"/>
        <v>-1.2220651192019205E-2</v>
      </c>
      <c r="M61" s="61"/>
      <c r="N61" s="61"/>
      <c r="O61" s="61"/>
      <c r="Q61" s="62"/>
      <c r="S61" s="175">
        <v>45845</v>
      </c>
      <c r="T61" s="64">
        <v>397.42</v>
      </c>
      <c r="U61" s="67">
        <f t="shared" si="1"/>
        <v>1.0321334146837557E-2</v>
      </c>
      <c r="V61" s="59"/>
      <c r="W61" s="59"/>
      <c r="Y61" s="62"/>
      <c r="AG61" s="175">
        <v>45845</v>
      </c>
      <c r="AH61" s="64">
        <v>450.82</v>
      </c>
      <c r="AI61" s="67">
        <f t="shared" si="2"/>
        <v>-8.5549031250686802E-3</v>
      </c>
      <c r="AJ61" s="59"/>
      <c r="AK61" s="59"/>
      <c r="AM61" s="62"/>
      <c r="AU61" s="175">
        <v>45845</v>
      </c>
      <c r="AV61" s="64">
        <v>5684.01</v>
      </c>
      <c r="AW61" s="67">
        <f t="shared" si="4"/>
        <v>-2.2521257398838701E-3</v>
      </c>
      <c r="AX61" s="67"/>
      <c r="AY61" s="67"/>
      <c r="AZ61" s="67"/>
      <c r="BA61" s="61"/>
      <c r="BB61" s="61"/>
      <c r="BD61" s="62"/>
    </row>
    <row r="62" spans="2:56" x14ac:dyDescent="0.3">
      <c r="B62" s="175">
        <v>45852</v>
      </c>
      <c r="C62" s="64">
        <v>2445.31</v>
      </c>
      <c r="D62" s="67">
        <f t="shared" si="3"/>
        <v>-1.1908129207444773E-2</v>
      </c>
      <c r="E62" s="60"/>
      <c r="F62" s="64">
        <v>24968.400000000001</v>
      </c>
      <c r="G62" s="67">
        <f t="shared" si="0"/>
        <v>-7.214754759968578E-3</v>
      </c>
      <c r="M62" s="61"/>
      <c r="N62" s="61"/>
      <c r="O62" s="61"/>
      <c r="Q62" s="62"/>
      <c r="S62" s="175">
        <v>45852</v>
      </c>
      <c r="T62" s="64">
        <v>403.09</v>
      </c>
      <c r="U62" s="67">
        <f t="shared" si="1"/>
        <v>1.426702229379484E-2</v>
      </c>
      <c r="V62" s="59"/>
      <c r="W62" s="59"/>
      <c r="Y62" s="62"/>
      <c r="AG62" s="175">
        <v>45852</v>
      </c>
      <c r="AH62" s="64">
        <v>483.32</v>
      </c>
      <c r="AI62" s="67">
        <f t="shared" si="2"/>
        <v>7.209085666119508E-2</v>
      </c>
      <c r="AJ62" s="59"/>
      <c r="AK62" s="59"/>
      <c r="AM62" s="62"/>
      <c r="AU62" s="175">
        <v>45852</v>
      </c>
      <c r="AV62" s="64">
        <v>5661.31</v>
      </c>
      <c r="AW62" s="67">
        <f t="shared" si="4"/>
        <v>-3.9936594059475361E-3</v>
      </c>
      <c r="AX62" s="67"/>
      <c r="AY62" s="67"/>
      <c r="AZ62" s="67"/>
      <c r="BA62" s="61"/>
      <c r="BB62" s="61"/>
      <c r="BD62" s="62"/>
    </row>
    <row r="63" spans="2:56" x14ac:dyDescent="0.3">
      <c r="B63" s="175">
        <v>45859</v>
      </c>
      <c r="C63" s="64">
        <v>2372.4299999999998</v>
      </c>
      <c r="D63" s="67">
        <f t="shared" si="3"/>
        <v>-2.9803992131877011E-2</v>
      </c>
      <c r="E63" s="61"/>
      <c r="F63" s="64">
        <v>24837</v>
      </c>
      <c r="G63" s="67">
        <f t="shared" si="0"/>
        <v>-5.2626519921180615E-3</v>
      </c>
      <c r="M63" s="61"/>
      <c r="N63" s="61"/>
      <c r="O63" s="61"/>
      <c r="Q63" s="62"/>
      <c r="S63" s="175">
        <v>45859</v>
      </c>
      <c r="T63" s="64">
        <v>390.36</v>
      </c>
      <c r="U63" s="67">
        <f t="shared" si="1"/>
        <v>-3.1581036493090742E-2</v>
      </c>
      <c r="V63" s="60"/>
      <c r="W63" s="60"/>
      <c r="Y63" s="60"/>
      <c r="AG63" s="175">
        <v>45859</v>
      </c>
      <c r="AH63" s="64">
        <v>475.64</v>
      </c>
      <c r="AI63" s="67">
        <f t="shared" si="2"/>
        <v>-1.5890093519821291E-2</v>
      </c>
      <c r="AJ63" s="59"/>
      <c r="AK63" s="59"/>
      <c r="AM63" s="62"/>
      <c r="AU63" s="175">
        <v>45859</v>
      </c>
      <c r="AV63" s="64">
        <v>5521.64</v>
      </c>
      <c r="AW63" s="67">
        <f t="shared" si="4"/>
        <v>-2.4670968380109959E-2</v>
      </c>
      <c r="AX63" s="67"/>
      <c r="AY63" s="67"/>
      <c r="AZ63" s="67"/>
      <c r="BA63" s="61"/>
      <c r="BB63" s="61"/>
      <c r="BD63" s="62"/>
    </row>
    <row r="64" spans="2:56" x14ac:dyDescent="0.3">
      <c r="B64" s="175">
        <v>45866</v>
      </c>
      <c r="C64" s="64">
        <v>2508.27</v>
      </c>
      <c r="D64" s="67">
        <f t="shared" si="3"/>
        <v>5.7257748384567764E-2</v>
      </c>
      <c r="E64" s="61"/>
      <c r="F64" s="64">
        <v>24565.35</v>
      </c>
      <c r="G64" s="67">
        <f t="shared" si="0"/>
        <v>-1.0937311269477057E-2</v>
      </c>
      <c r="M64" s="61"/>
      <c r="N64" s="61"/>
      <c r="O64" s="61"/>
      <c r="Q64" s="62"/>
      <c r="S64" s="175">
        <v>45866</v>
      </c>
      <c r="T64" s="64">
        <v>397.08</v>
      </c>
      <c r="U64" s="67">
        <f t="shared" si="1"/>
        <v>1.7214878573624359E-2</v>
      </c>
      <c r="V64" s="59"/>
      <c r="W64" s="59"/>
      <c r="Y64" s="62"/>
      <c r="AG64" s="175">
        <v>45866</v>
      </c>
      <c r="AH64" s="64">
        <v>510.28</v>
      </c>
      <c r="AI64" s="67">
        <f t="shared" si="2"/>
        <v>7.2828189386931363E-2</v>
      </c>
      <c r="AJ64" s="59"/>
      <c r="AK64" s="59"/>
      <c r="AM64" s="62"/>
      <c r="AU64" s="175">
        <v>45866</v>
      </c>
      <c r="AV64" s="64">
        <v>5723</v>
      </c>
      <c r="AW64" s="67">
        <f t="shared" si="4"/>
        <v>3.6467426344346965E-2</v>
      </c>
      <c r="AX64" s="67"/>
      <c r="AY64" s="67"/>
      <c r="AZ64" s="67"/>
      <c r="BA64" s="60"/>
      <c r="BB64" s="60"/>
      <c r="BD64" s="60"/>
    </row>
    <row r="65" spans="2:56" x14ac:dyDescent="0.3">
      <c r="B65" s="175">
        <v>45873</v>
      </c>
      <c r="C65" s="64">
        <v>2454.15</v>
      </c>
      <c r="D65" s="67">
        <f t="shared" si="3"/>
        <v>-2.1576624526067678E-2</v>
      </c>
      <c r="E65" s="61"/>
      <c r="F65" s="64">
        <v>24363.3</v>
      </c>
      <c r="G65" s="67">
        <f t="shared" si="0"/>
        <v>-8.2249998473459263E-3</v>
      </c>
      <c r="M65" s="61"/>
      <c r="N65" s="61"/>
      <c r="O65" s="61"/>
      <c r="Q65" s="62"/>
      <c r="S65" s="175">
        <v>45873</v>
      </c>
      <c r="T65" s="64">
        <v>395.22</v>
      </c>
      <c r="U65" s="67">
        <f t="shared" si="1"/>
        <v>-4.6841946207312191E-3</v>
      </c>
      <c r="V65" s="59"/>
      <c r="W65" s="59"/>
      <c r="Y65" s="62"/>
      <c r="AG65" s="175">
        <v>45873</v>
      </c>
      <c r="AH65" s="64">
        <v>494.86</v>
      </c>
      <c r="AI65" s="67">
        <f t="shared" si="2"/>
        <v>-3.0218703456925566E-2</v>
      </c>
      <c r="AJ65" s="59"/>
      <c r="AK65" s="59"/>
      <c r="AM65" s="62"/>
      <c r="AU65" s="175">
        <v>45873</v>
      </c>
      <c r="AV65" s="64">
        <v>5317.32</v>
      </c>
      <c r="AW65" s="67">
        <f t="shared" si="4"/>
        <v>-7.0885899004018871E-2</v>
      </c>
      <c r="AX65" s="67"/>
      <c r="AY65" s="67"/>
      <c r="AZ65" s="67"/>
      <c r="BA65" s="61"/>
      <c r="BB65" s="61"/>
      <c r="BD65" s="62"/>
    </row>
    <row r="66" spans="2:56" x14ac:dyDescent="0.3">
      <c r="B66" s="175">
        <v>45880</v>
      </c>
      <c r="C66" s="64">
        <v>2436.4699999999998</v>
      </c>
      <c r="D66" s="67">
        <f t="shared" si="3"/>
        <v>-7.204123627325254E-3</v>
      </c>
      <c r="E66" s="61"/>
      <c r="F66" s="64">
        <v>24631.3</v>
      </c>
      <c r="G66" s="67">
        <f t="shared" si="0"/>
        <v>1.100015186776826E-2</v>
      </c>
      <c r="M66" s="61"/>
      <c r="N66" s="61"/>
      <c r="O66" s="61"/>
      <c r="Q66" s="62"/>
      <c r="S66" s="175">
        <v>45880</v>
      </c>
      <c r="T66" s="64">
        <v>392.32</v>
      </c>
      <c r="U66" s="67">
        <f t="shared" si="1"/>
        <v>-7.3376853398108288E-3</v>
      </c>
      <c r="V66" s="59"/>
      <c r="W66" s="59"/>
      <c r="Y66" s="62"/>
      <c r="AG66" s="175">
        <v>45880</v>
      </c>
      <c r="AH66" s="64">
        <v>500.74</v>
      </c>
      <c r="AI66" s="67">
        <f t="shared" si="2"/>
        <v>1.1882148486440647E-2</v>
      </c>
      <c r="AJ66" s="59"/>
      <c r="AK66" s="59"/>
      <c r="AM66" s="62"/>
      <c r="AU66" s="175">
        <v>45880</v>
      </c>
      <c r="AV66" s="64">
        <v>5302.5</v>
      </c>
      <c r="AW66" s="67">
        <f t="shared" si="4"/>
        <v>-2.7871183227640151E-3</v>
      </c>
      <c r="AX66" s="67"/>
      <c r="AY66" s="67"/>
      <c r="AZ66" s="67"/>
      <c r="BA66" s="61"/>
      <c r="BB66" s="61"/>
      <c r="BD66" s="62"/>
    </row>
    <row r="67" spans="2:56" x14ac:dyDescent="0.3">
      <c r="B67" s="175">
        <v>45887</v>
      </c>
      <c r="C67" s="64">
        <v>2583.11</v>
      </c>
      <c r="D67" s="67">
        <f t="shared" si="3"/>
        <v>6.0185432203146538E-2</v>
      </c>
      <c r="E67" s="61"/>
      <c r="F67" s="64">
        <v>24870.1</v>
      </c>
      <c r="G67" s="67">
        <f t="shared" si="0"/>
        <v>9.6949815884666002E-3</v>
      </c>
      <c r="M67" s="61"/>
      <c r="N67" s="61"/>
      <c r="O67" s="61"/>
      <c r="Q67" s="62"/>
      <c r="S67" s="175">
        <v>45887</v>
      </c>
      <c r="T67" s="64">
        <v>379.78</v>
      </c>
      <c r="U67" s="67">
        <f t="shared" si="1"/>
        <v>-3.1963703099510687E-2</v>
      </c>
      <c r="V67" s="59"/>
      <c r="W67" s="59"/>
      <c r="Y67" s="62"/>
      <c r="AG67" s="175">
        <v>45887</v>
      </c>
      <c r="AH67" s="64">
        <v>515.46</v>
      </c>
      <c r="AI67" s="67">
        <f t="shared" si="2"/>
        <v>2.9396493190078754E-2</v>
      </c>
      <c r="AJ67" s="59"/>
      <c r="AK67" s="59"/>
      <c r="AM67" s="62"/>
      <c r="AU67" s="175">
        <v>45887</v>
      </c>
      <c r="AV67" s="64">
        <v>5545.5</v>
      </c>
      <c r="AW67" s="67">
        <f t="shared" si="4"/>
        <v>4.58274398868459E-2</v>
      </c>
      <c r="AX67" s="67"/>
      <c r="AY67" s="67"/>
      <c r="AZ67" s="67"/>
      <c r="BA67" s="61"/>
      <c r="BB67" s="61"/>
      <c r="BD67" s="62"/>
    </row>
    <row r="68" spans="2:56" x14ac:dyDescent="0.3">
      <c r="B68" s="175">
        <v>45894</v>
      </c>
      <c r="C68" s="64">
        <v>2612.48</v>
      </c>
      <c r="D68" s="67">
        <f t="shared" si="3"/>
        <v>1.1370015214218432E-2</v>
      </c>
      <c r="E68" s="61"/>
      <c r="F68" s="64">
        <v>24426.85</v>
      </c>
      <c r="G68" s="67">
        <f t="shared" si="0"/>
        <v>-1.7822606262138052E-2</v>
      </c>
      <c r="M68" s="61"/>
      <c r="N68" s="61"/>
      <c r="O68" s="61"/>
      <c r="Q68" s="62"/>
      <c r="S68" s="175">
        <v>45894</v>
      </c>
      <c r="T68" s="64">
        <v>390.7</v>
      </c>
      <c r="U68" s="67">
        <f t="shared" si="1"/>
        <v>2.8753488861972709E-2</v>
      </c>
      <c r="V68" s="59"/>
      <c r="W68" s="59"/>
      <c r="Y68" s="62"/>
      <c r="AG68" s="175">
        <v>45894</v>
      </c>
      <c r="AH68" s="64">
        <v>486.08</v>
      </c>
      <c r="AI68" s="67">
        <f t="shared" si="2"/>
        <v>-5.6997633182012231E-2</v>
      </c>
      <c r="AJ68" s="59"/>
      <c r="AK68" s="59"/>
      <c r="AM68" s="62"/>
      <c r="AU68" s="175">
        <v>45894</v>
      </c>
      <c r="AV68" s="64">
        <v>5824</v>
      </c>
      <c r="AW68" s="67">
        <f t="shared" si="4"/>
        <v>5.0220899828689936E-2</v>
      </c>
      <c r="AX68" s="67"/>
      <c r="AY68" s="67"/>
      <c r="AZ68" s="67"/>
      <c r="BA68" s="61"/>
      <c r="BB68" s="61"/>
      <c r="BD68" s="62"/>
    </row>
    <row r="69" spans="2:56" x14ac:dyDescent="0.3">
      <c r="B69" s="175">
        <v>45901</v>
      </c>
      <c r="C69" s="64">
        <v>2586.5500000000002</v>
      </c>
      <c r="D69" s="67">
        <f t="shared" si="3"/>
        <v>-9.9254348358647215E-3</v>
      </c>
      <c r="E69" s="61"/>
      <c r="F69" s="64">
        <v>24741</v>
      </c>
      <c r="G69" s="67">
        <f t="shared" si="0"/>
        <v>1.2860847796584585E-2</v>
      </c>
      <c r="M69" s="61"/>
      <c r="N69" s="61"/>
      <c r="O69" s="61"/>
      <c r="Q69" s="62"/>
      <c r="S69" s="175">
        <v>45901</v>
      </c>
      <c r="T69" s="64">
        <v>388.41</v>
      </c>
      <c r="U69" s="67">
        <f t="shared" si="1"/>
        <v>-5.8612746352699752E-3</v>
      </c>
      <c r="V69" s="59"/>
      <c r="W69" s="59"/>
      <c r="Y69" s="62"/>
      <c r="AG69" s="175">
        <v>45901</v>
      </c>
      <c r="AH69" s="64">
        <v>468.62</v>
      </c>
      <c r="AI69" s="67">
        <f t="shared" si="2"/>
        <v>-3.5920013166556908E-2</v>
      </c>
      <c r="AJ69" s="59"/>
      <c r="AK69" s="59"/>
      <c r="AM69" s="62"/>
      <c r="AU69" s="175">
        <v>45901</v>
      </c>
      <c r="AV69" s="64">
        <v>6076</v>
      </c>
      <c r="AW69" s="67">
        <f t="shared" si="4"/>
        <v>4.3269230769230838E-2</v>
      </c>
      <c r="AX69" s="67"/>
      <c r="AY69" s="67"/>
      <c r="AZ69" s="67"/>
      <c r="BA69" s="61"/>
      <c r="BB69" s="61"/>
      <c r="BD69" s="62"/>
    </row>
    <row r="70" spans="2:56" x14ac:dyDescent="0.3">
      <c r="B70" s="175">
        <v>45908</v>
      </c>
      <c r="C70" s="64">
        <v>2534.59</v>
      </c>
      <c r="D70" s="67">
        <f t="shared" si="3"/>
        <v>-2.0088534921033796E-2</v>
      </c>
      <c r="E70" s="61"/>
      <c r="F70" s="64">
        <v>25114</v>
      </c>
      <c r="G70" s="67">
        <f t="shared" si="0"/>
        <v>1.5076189321369338E-2</v>
      </c>
      <c r="M70" s="61"/>
      <c r="N70" s="61"/>
      <c r="O70" s="61"/>
      <c r="Q70" s="62"/>
      <c r="S70" s="175">
        <v>45908</v>
      </c>
      <c r="T70" s="64">
        <v>394.51</v>
      </c>
      <c r="U70" s="67">
        <f t="shared" si="1"/>
        <v>1.5705053937849156E-2</v>
      </c>
      <c r="V70" s="59"/>
      <c r="W70" s="59"/>
      <c r="Y70" s="62"/>
      <c r="AG70" s="175">
        <v>45908</v>
      </c>
      <c r="AH70" s="64">
        <v>468.77</v>
      </c>
      <c r="AI70" s="67">
        <f t="shared" si="2"/>
        <v>3.2008877128575364E-4</v>
      </c>
      <c r="AJ70" s="59"/>
      <c r="AK70" s="59"/>
      <c r="AM70" s="62"/>
      <c r="AU70" s="175">
        <v>45908</v>
      </c>
      <c r="AV70" s="64">
        <v>6247</v>
      </c>
      <c r="AW70" s="67">
        <f t="shared" si="4"/>
        <v>2.8143515470704372E-2</v>
      </c>
      <c r="AX70" s="67"/>
      <c r="AY70" s="67"/>
      <c r="AZ70" s="67"/>
      <c r="BA70" s="61"/>
      <c r="BB70" s="61"/>
      <c r="BD70" s="62"/>
    </row>
    <row r="71" spans="2:56" x14ac:dyDescent="0.3">
      <c r="B71" s="175">
        <v>45915</v>
      </c>
      <c r="C71" s="64">
        <v>2514.06</v>
      </c>
      <c r="D71" s="67">
        <f t="shared" si="3"/>
        <v>-8.0999293771379932E-3</v>
      </c>
      <c r="E71" s="61"/>
      <c r="F71" s="64">
        <v>25327.05</v>
      </c>
      <c r="G71" s="67">
        <f t="shared" si="0"/>
        <v>8.4833160786812467E-3</v>
      </c>
      <c r="M71" s="61"/>
      <c r="N71" s="61"/>
      <c r="O71" s="61"/>
      <c r="Q71" s="62"/>
      <c r="S71" s="175">
        <v>45915</v>
      </c>
      <c r="T71" s="64">
        <v>391.55</v>
      </c>
      <c r="U71" s="67">
        <f t="shared" si="1"/>
        <v>-7.5029783782413206E-3</v>
      </c>
      <c r="V71" s="59"/>
      <c r="W71" s="59"/>
      <c r="Y71" s="62"/>
      <c r="AG71" s="175">
        <v>45915</v>
      </c>
      <c r="AH71" s="64">
        <v>473.41</v>
      </c>
      <c r="AI71" s="67">
        <f t="shared" si="2"/>
        <v>9.8982443415749355E-3</v>
      </c>
      <c r="AJ71" s="59"/>
      <c r="AK71" s="59"/>
      <c r="AM71" s="62"/>
      <c r="AU71" s="175">
        <v>45915</v>
      </c>
      <c r="AV71" s="64">
        <v>6069.5</v>
      </c>
      <c r="AW71" s="67">
        <f t="shared" si="4"/>
        <v>-2.8413638546502362E-2</v>
      </c>
      <c r="AX71" s="67"/>
      <c r="AY71" s="67"/>
      <c r="AZ71" s="67"/>
      <c r="BA71" s="61"/>
      <c r="BB71" s="61"/>
      <c r="BD71" s="62"/>
    </row>
    <row r="72" spans="2:56" x14ac:dyDescent="0.3">
      <c r="B72" s="175">
        <v>45922</v>
      </c>
      <c r="C72" s="64">
        <v>2467.11</v>
      </c>
      <c r="D72" s="67">
        <f t="shared" si="3"/>
        <v>-1.867497195770973E-2</v>
      </c>
      <c r="E72" s="61"/>
      <c r="F72" s="64">
        <v>24654.7</v>
      </c>
      <c r="G72" s="67">
        <f t="shared" ref="G72:G112" si="5">F72/F71-1</f>
        <v>-2.6546715863079107E-2</v>
      </c>
      <c r="M72" s="61"/>
      <c r="N72" s="61"/>
      <c r="O72" s="61"/>
      <c r="Q72" s="62"/>
      <c r="S72" s="175">
        <v>45922</v>
      </c>
      <c r="T72" s="64">
        <v>386.26</v>
      </c>
      <c r="U72" s="67">
        <f t="shared" ref="U72:U112" si="6">T72/T71-1</f>
        <v>-1.3510407355382559E-2</v>
      </c>
      <c r="V72" s="59"/>
      <c r="W72" s="59"/>
      <c r="Y72" s="62"/>
      <c r="AG72" s="175">
        <v>45922</v>
      </c>
      <c r="AH72" s="64">
        <v>443.77</v>
      </c>
      <c r="AI72" s="67">
        <f t="shared" ref="AI72:AI112" si="7">AH72/AH71-1</f>
        <v>-6.2609577321983134E-2</v>
      </c>
      <c r="AJ72" s="59"/>
      <c r="AK72" s="59"/>
      <c r="AM72" s="62"/>
      <c r="AU72" s="175">
        <v>45922</v>
      </c>
      <c r="AV72" s="64">
        <v>5920.5</v>
      </c>
      <c r="AW72" s="67">
        <f t="shared" si="4"/>
        <v>-2.4548974380097177E-2</v>
      </c>
      <c r="AX72" s="67"/>
      <c r="AY72" s="67"/>
      <c r="AZ72" s="67"/>
      <c r="BA72" s="61"/>
      <c r="BB72" s="61"/>
      <c r="BD72" s="62"/>
    </row>
    <row r="73" spans="2:56" x14ac:dyDescent="0.3">
      <c r="B73" s="175">
        <v>45929</v>
      </c>
      <c r="C73" s="64">
        <v>2499.63</v>
      </c>
      <c r="D73" s="67">
        <f t="shared" ref="D73:D112" si="8">C73/C72-1</f>
        <v>1.3181414691683768E-2</v>
      </c>
      <c r="E73" s="61"/>
      <c r="F73" s="64">
        <v>24894.25</v>
      </c>
      <c r="G73" s="67">
        <f t="shared" si="5"/>
        <v>9.7162001565624934E-3</v>
      </c>
      <c r="M73" s="61"/>
      <c r="N73" s="61"/>
      <c r="O73" s="61"/>
      <c r="Q73" s="62"/>
      <c r="S73" s="175">
        <v>45929</v>
      </c>
      <c r="T73" s="64">
        <v>385.5</v>
      </c>
      <c r="U73" s="67">
        <f t="shared" si="6"/>
        <v>-1.9675865996996444E-3</v>
      </c>
      <c r="V73" s="59"/>
      <c r="W73" s="59"/>
      <c r="Y73" s="62"/>
      <c r="AG73" s="175">
        <v>45929</v>
      </c>
      <c r="AH73" s="64">
        <v>442.47</v>
      </c>
      <c r="AI73" s="67">
        <f t="shared" si="7"/>
        <v>-2.9294454334451991E-3</v>
      </c>
      <c r="AJ73" s="59"/>
      <c r="AK73" s="59"/>
      <c r="AM73" s="62"/>
      <c r="AU73" s="175">
        <v>45929</v>
      </c>
      <c r="AV73" s="64">
        <v>5992.5</v>
      </c>
      <c r="AW73" s="67">
        <f t="shared" ref="AW73:AW112" si="9">AV73/AV72-1</f>
        <v>1.2161135039270299E-2</v>
      </c>
      <c r="AX73" s="67"/>
      <c r="AY73" s="67"/>
      <c r="AZ73" s="67"/>
      <c r="BA73" s="61"/>
      <c r="BB73" s="61"/>
      <c r="BD73" s="62"/>
    </row>
    <row r="74" spans="2:56" x14ac:dyDescent="0.3">
      <c r="B74" s="175">
        <v>45936</v>
      </c>
      <c r="C74" s="64">
        <v>2483.91</v>
      </c>
      <c r="D74" s="67">
        <f t="shared" si="8"/>
        <v>-6.2889307617528534E-3</v>
      </c>
      <c r="E74" s="61"/>
      <c r="F74" s="64">
        <v>25285.35</v>
      </c>
      <c r="G74" s="67">
        <f t="shared" si="5"/>
        <v>1.5710455225604214E-2</v>
      </c>
      <c r="M74" s="61"/>
      <c r="N74" s="61"/>
      <c r="O74" s="61"/>
      <c r="Q74" s="62"/>
      <c r="S74" s="175">
        <v>45936</v>
      </c>
      <c r="T74" s="64">
        <v>384.07</v>
      </c>
      <c r="U74" s="67">
        <f t="shared" si="6"/>
        <v>-3.7094682230869314E-3</v>
      </c>
      <c r="V74" s="59"/>
      <c r="W74" s="59"/>
      <c r="Y74" s="62"/>
      <c r="AG74" s="175">
        <v>45936</v>
      </c>
      <c r="AH74" s="64">
        <v>442.67</v>
      </c>
      <c r="AI74" s="67">
        <f t="shared" si="7"/>
        <v>4.5200804574307973E-4</v>
      </c>
      <c r="AJ74" s="59"/>
      <c r="AK74" s="59"/>
      <c r="AM74" s="62"/>
      <c r="AU74" s="175">
        <v>45936</v>
      </c>
      <c r="AV74" s="64">
        <v>5871.5</v>
      </c>
      <c r="AW74" s="67">
        <f t="shared" si="9"/>
        <v>-2.0191906549854033E-2</v>
      </c>
      <c r="AX74" s="67"/>
      <c r="AY74" s="67"/>
      <c r="AZ74" s="67"/>
      <c r="BA74" s="61"/>
      <c r="BB74" s="61"/>
      <c r="BD74" s="62"/>
    </row>
    <row r="75" spans="2:56" x14ac:dyDescent="0.3">
      <c r="B75" s="175">
        <v>45943</v>
      </c>
      <c r="C75" s="64">
        <v>2557.38</v>
      </c>
      <c r="D75" s="67">
        <f t="shared" si="8"/>
        <v>2.9578366365931252E-2</v>
      </c>
      <c r="E75" s="61"/>
      <c r="F75" s="64">
        <v>25709.85</v>
      </c>
      <c r="G75" s="67">
        <f t="shared" si="5"/>
        <v>1.6788377459675319E-2</v>
      </c>
      <c r="M75" s="61"/>
      <c r="N75" s="61"/>
      <c r="O75" s="61"/>
      <c r="Q75" s="62"/>
      <c r="S75" s="175">
        <v>45943</v>
      </c>
      <c r="T75" s="64">
        <v>392.98</v>
      </c>
      <c r="U75" s="67">
        <f t="shared" si="6"/>
        <v>2.3198896034577032E-2</v>
      </c>
      <c r="V75" s="59"/>
      <c r="W75" s="59"/>
      <c r="Y75" s="62"/>
      <c r="AG75" s="175">
        <v>45943</v>
      </c>
      <c r="AH75" s="64">
        <v>460.53</v>
      </c>
      <c r="AI75" s="67">
        <f t="shared" si="7"/>
        <v>4.0346081731312156E-2</v>
      </c>
      <c r="AJ75" s="59"/>
      <c r="AK75" s="59"/>
      <c r="AM75" s="62"/>
      <c r="AU75" s="175">
        <v>45943</v>
      </c>
      <c r="AV75" s="64">
        <v>6083</v>
      </c>
      <c r="AW75" s="67">
        <f t="shared" si="9"/>
        <v>3.602145959294889E-2</v>
      </c>
      <c r="AX75" s="67"/>
      <c r="AY75" s="67"/>
      <c r="AZ75" s="67"/>
      <c r="BA75" s="61"/>
      <c r="BB75" s="61"/>
      <c r="BD75" s="62"/>
    </row>
    <row r="76" spans="2:56" x14ac:dyDescent="0.3">
      <c r="B76" s="175">
        <v>45950</v>
      </c>
      <c r="C76" s="64">
        <v>2471.63</v>
      </c>
      <c r="D76" s="67">
        <f t="shared" si="8"/>
        <v>-3.3530410029014024E-2</v>
      </c>
      <c r="E76" s="61"/>
      <c r="F76" s="64">
        <v>25795.15</v>
      </c>
      <c r="G76" s="67">
        <f t="shared" si="5"/>
        <v>3.3177945417808274E-3</v>
      </c>
      <c r="M76" s="61"/>
      <c r="N76" s="61"/>
      <c r="O76" s="61"/>
      <c r="Q76" s="62"/>
      <c r="S76" s="175">
        <v>45950</v>
      </c>
      <c r="T76" s="64">
        <v>397.42</v>
      </c>
      <c r="U76" s="67">
        <f t="shared" si="6"/>
        <v>1.1298284899994959E-2</v>
      </c>
      <c r="V76" s="59"/>
      <c r="W76" s="59"/>
      <c r="Y76" s="62"/>
      <c r="AG76" s="175">
        <v>45950</v>
      </c>
      <c r="AH76" s="64">
        <v>460.38</v>
      </c>
      <c r="AI76" s="67">
        <f t="shared" si="7"/>
        <v>-3.2571168002082374E-4</v>
      </c>
      <c r="AJ76" s="59"/>
      <c r="AK76" s="59"/>
      <c r="AM76" s="62"/>
      <c r="AU76" s="175">
        <v>45950</v>
      </c>
      <c r="AV76" s="64">
        <v>6053</v>
      </c>
      <c r="AW76" s="67">
        <f t="shared" si="9"/>
        <v>-4.9317770836758701E-3</v>
      </c>
      <c r="AX76" s="67"/>
      <c r="AY76" s="67"/>
      <c r="AZ76" s="67"/>
      <c r="BA76" s="61"/>
      <c r="BB76" s="61"/>
      <c r="BD76" s="62"/>
    </row>
    <row r="77" spans="2:56" x14ac:dyDescent="0.3">
      <c r="B77" s="175">
        <v>45957</v>
      </c>
      <c r="C77" s="64">
        <v>2421.64</v>
      </c>
      <c r="D77" s="67">
        <f t="shared" si="8"/>
        <v>-2.0225519191788499E-2</v>
      </c>
      <c r="E77" s="61"/>
      <c r="F77" s="64">
        <v>25722.1</v>
      </c>
      <c r="G77" s="67">
        <f t="shared" si="5"/>
        <v>-2.8319277073404203E-3</v>
      </c>
      <c r="M77" s="61"/>
      <c r="N77" s="61"/>
      <c r="O77" s="61"/>
      <c r="Q77" s="62"/>
      <c r="S77" s="175">
        <v>45957</v>
      </c>
      <c r="T77" s="64">
        <v>400.8</v>
      </c>
      <c r="U77" s="67">
        <f t="shared" si="6"/>
        <v>8.504856323285237E-3</v>
      </c>
      <c r="V77" s="59"/>
      <c r="W77" s="59"/>
      <c r="Y77" s="62"/>
      <c r="AG77" s="175">
        <v>45957</v>
      </c>
      <c r="AH77" s="64">
        <v>468.62</v>
      </c>
      <c r="AI77" s="67">
        <f t="shared" si="7"/>
        <v>1.7898257960814901E-2</v>
      </c>
      <c r="AJ77" s="59"/>
      <c r="AK77" s="59"/>
      <c r="AM77" s="62"/>
      <c r="AU77" s="175">
        <v>45957</v>
      </c>
      <c r="AV77" s="64">
        <v>5836.5</v>
      </c>
      <c r="AW77" s="67">
        <f t="shared" si="9"/>
        <v>-3.5767388072030393E-2</v>
      </c>
      <c r="AX77" s="67"/>
      <c r="AY77" s="67"/>
      <c r="AZ77" s="67"/>
      <c r="BA77" s="61"/>
      <c r="BB77" s="61"/>
      <c r="BD77" s="62"/>
    </row>
    <row r="78" spans="2:56" x14ac:dyDescent="0.3">
      <c r="B78" s="175">
        <v>45964</v>
      </c>
      <c r="C78" s="64">
        <v>2371.0500000000002</v>
      </c>
      <c r="D78" s="67">
        <f t="shared" si="8"/>
        <v>-2.0890801275168736E-2</v>
      </c>
      <c r="E78" s="61"/>
      <c r="F78" s="64">
        <v>25492.3</v>
      </c>
      <c r="G78" s="67">
        <f t="shared" si="5"/>
        <v>-8.9339517379996014E-3</v>
      </c>
      <c r="M78" s="61"/>
      <c r="N78" s="61"/>
      <c r="O78" s="61"/>
      <c r="Q78" s="62"/>
      <c r="S78" s="175">
        <v>45964</v>
      </c>
      <c r="T78" s="64">
        <v>385.26</v>
      </c>
      <c r="U78" s="67">
        <f t="shared" si="6"/>
        <v>-3.8772455089820412E-2</v>
      </c>
      <c r="V78" s="59"/>
      <c r="W78" s="59"/>
      <c r="Y78" s="62"/>
      <c r="AG78" s="175">
        <v>45964</v>
      </c>
      <c r="AH78" s="64">
        <v>469.16</v>
      </c>
      <c r="AI78" s="67">
        <f t="shared" si="7"/>
        <v>1.1523195766292016E-3</v>
      </c>
      <c r="AJ78" s="59"/>
      <c r="AK78" s="59"/>
      <c r="AM78" s="62"/>
      <c r="AU78" s="175">
        <v>45964</v>
      </c>
      <c r="AV78" s="64">
        <v>6157.5</v>
      </c>
      <c r="AW78" s="67">
        <f t="shared" si="9"/>
        <v>5.4998714983294672E-2</v>
      </c>
      <c r="AX78" s="67"/>
      <c r="AY78" s="67"/>
      <c r="AZ78" s="67"/>
      <c r="BA78" s="61"/>
      <c r="BB78" s="61"/>
      <c r="BD78" s="62"/>
    </row>
    <row r="79" spans="2:56" x14ac:dyDescent="0.3">
      <c r="B79" s="175">
        <v>45971</v>
      </c>
      <c r="C79" s="64">
        <v>2403.2600000000002</v>
      </c>
      <c r="D79" s="67">
        <f t="shared" si="8"/>
        <v>1.3584698762151737E-2</v>
      </c>
      <c r="E79" s="61"/>
      <c r="F79" s="64">
        <v>25910.05</v>
      </c>
      <c r="G79" s="67">
        <f t="shared" si="5"/>
        <v>1.6387301263518728E-2</v>
      </c>
      <c r="M79" s="61"/>
      <c r="N79" s="61"/>
      <c r="O79" s="61"/>
      <c r="Q79" s="62"/>
      <c r="S79" s="175">
        <v>45971</v>
      </c>
      <c r="T79" s="64">
        <v>389.17</v>
      </c>
      <c r="U79" s="67">
        <f t="shared" si="6"/>
        <v>1.0148990292270232E-2</v>
      </c>
      <c r="V79" s="59"/>
      <c r="W79" s="59"/>
      <c r="Y79" s="62"/>
      <c r="AG79" s="175">
        <v>45971</v>
      </c>
      <c r="AH79" s="64">
        <v>458.39</v>
      </c>
      <c r="AI79" s="67">
        <f t="shared" si="7"/>
        <v>-2.2955921220905506E-2</v>
      </c>
      <c r="AJ79" s="59"/>
      <c r="AK79" s="59"/>
      <c r="AM79" s="62"/>
      <c r="AU79" s="175">
        <v>45971</v>
      </c>
      <c r="AV79" s="64">
        <v>5803.5</v>
      </c>
      <c r="AW79" s="67">
        <f t="shared" si="9"/>
        <v>-5.7490864799025543E-2</v>
      </c>
      <c r="AX79" s="67"/>
      <c r="AY79" s="67"/>
      <c r="AZ79" s="67"/>
      <c r="BA79" s="61"/>
      <c r="BB79" s="61"/>
      <c r="BD79" s="62"/>
    </row>
    <row r="80" spans="2:56" x14ac:dyDescent="0.3">
      <c r="B80" s="175">
        <v>45978</v>
      </c>
      <c r="C80" s="64">
        <v>2409.19</v>
      </c>
      <c r="D80" s="67">
        <f t="shared" si="8"/>
        <v>2.4674816707306313E-3</v>
      </c>
      <c r="E80" s="61"/>
      <c r="F80" s="64">
        <v>26068.15</v>
      </c>
      <c r="G80" s="67">
        <f t="shared" si="5"/>
        <v>6.1018793865701415E-3</v>
      </c>
      <c r="M80" s="61"/>
      <c r="N80" s="61"/>
      <c r="O80" s="61"/>
      <c r="Q80" s="62"/>
      <c r="S80" s="175">
        <v>45978</v>
      </c>
      <c r="T80" s="64">
        <v>388.88</v>
      </c>
      <c r="U80" s="67">
        <f t="shared" si="6"/>
        <v>-7.4517563018738908E-4</v>
      </c>
      <c r="V80" s="59"/>
      <c r="W80" s="59"/>
      <c r="Y80" s="62"/>
      <c r="AG80" s="175">
        <v>45978</v>
      </c>
      <c r="AH80" s="64">
        <v>446.66</v>
      </c>
      <c r="AI80" s="67">
        <f t="shared" si="7"/>
        <v>-2.5589563472152466E-2</v>
      </c>
      <c r="AJ80" s="59"/>
      <c r="AK80" s="59"/>
      <c r="AM80" s="62"/>
      <c r="AU80" s="175">
        <v>45978</v>
      </c>
      <c r="AV80" s="64">
        <v>5813</v>
      </c>
      <c r="AW80" s="67">
        <f t="shared" si="9"/>
        <v>1.6369432239164983E-3</v>
      </c>
      <c r="AX80" s="67"/>
      <c r="AY80" s="67"/>
      <c r="AZ80" s="67"/>
      <c r="BA80" s="61"/>
      <c r="BB80" s="61"/>
      <c r="BD80" s="62"/>
    </row>
    <row r="81" spans="2:56" x14ac:dyDescent="0.3">
      <c r="B81" s="175">
        <v>45985</v>
      </c>
      <c r="C81" s="64">
        <v>2441.7600000000002</v>
      </c>
      <c r="D81" s="67">
        <f t="shared" si="8"/>
        <v>1.3519066574242844E-2</v>
      </c>
      <c r="E81" s="61"/>
      <c r="F81" s="64">
        <v>26202.95</v>
      </c>
      <c r="G81" s="67">
        <f t="shared" si="5"/>
        <v>5.1710612375637233E-3</v>
      </c>
      <c r="M81" s="61"/>
      <c r="N81" s="61"/>
      <c r="O81" s="61"/>
      <c r="Q81" s="62"/>
      <c r="S81" s="175">
        <v>45985</v>
      </c>
      <c r="T81" s="64">
        <v>385.45</v>
      </c>
      <c r="U81" s="67">
        <f t="shared" si="6"/>
        <v>-8.8202016046081688E-3</v>
      </c>
      <c r="V81" s="59"/>
      <c r="W81" s="59"/>
      <c r="Y81" s="62"/>
      <c r="AG81" s="175">
        <v>45985</v>
      </c>
      <c r="AH81" s="64">
        <v>480.49</v>
      </c>
      <c r="AI81" s="67">
        <f t="shared" si="7"/>
        <v>7.5739936416961307E-2</v>
      </c>
      <c r="AJ81" s="59"/>
      <c r="AK81" s="59"/>
      <c r="AM81" s="62"/>
      <c r="AU81" s="175">
        <v>45985</v>
      </c>
      <c r="AV81" s="64">
        <v>5846</v>
      </c>
      <c r="AW81" s="67">
        <f t="shared" si="9"/>
        <v>5.6769310166866482E-3</v>
      </c>
      <c r="AX81" s="67"/>
      <c r="AY81" s="67"/>
      <c r="AZ81" s="67"/>
      <c r="BA81" s="61"/>
      <c r="BB81" s="61"/>
      <c r="BD81" s="62"/>
    </row>
    <row r="82" spans="2:56" x14ac:dyDescent="0.3">
      <c r="B82" s="175">
        <v>45992</v>
      </c>
      <c r="C82" s="64">
        <v>2315.0500000000002</v>
      </c>
      <c r="D82" s="67">
        <f t="shared" si="8"/>
        <v>-5.1892896926806875E-2</v>
      </c>
      <c r="E82" s="60"/>
      <c r="F82" s="64">
        <v>26186.45</v>
      </c>
      <c r="G82" s="67">
        <f t="shared" si="5"/>
        <v>-6.297000910202577E-4</v>
      </c>
      <c r="M82" s="61"/>
      <c r="N82" s="61"/>
      <c r="O82" s="61"/>
      <c r="Q82" s="62"/>
      <c r="S82" s="175">
        <v>45992</v>
      </c>
      <c r="T82" s="64">
        <v>386.12</v>
      </c>
      <c r="U82" s="67">
        <f t="shared" si="6"/>
        <v>1.7382280451421206E-3</v>
      </c>
      <c r="V82" s="60"/>
      <c r="W82" s="60"/>
      <c r="Y82" s="60"/>
      <c r="AG82" s="175">
        <v>45992</v>
      </c>
      <c r="AH82" s="64">
        <v>478.89</v>
      </c>
      <c r="AI82" s="67">
        <f t="shared" si="7"/>
        <v>-3.3299340256821575E-3</v>
      </c>
      <c r="AJ82" s="59"/>
      <c r="AK82" s="59"/>
      <c r="AM82" s="62"/>
      <c r="AU82" s="175">
        <v>45992</v>
      </c>
      <c r="AV82" s="64">
        <v>5961</v>
      </c>
      <c r="AW82" s="67">
        <f t="shared" si="9"/>
        <v>1.9671570304481634E-2</v>
      </c>
      <c r="AX82" s="67"/>
      <c r="AY82" s="67"/>
      <c r="AZ82" s="67"/>
      <c r="BA82" s="61"/>
      <c r="BB82" s="61"/>
      <c r="BD82" s="62"/>
    </row>
    <row r="83" spans="2:56" x14ac:dyDescent="0.3">
      <c r="B83" s="175">
        <v>45999</v>
      </c>
      <c r="C83" s="64">
        <v>2237.84</v>
      </c>
      <c r="D83" s="67">
        <f t="shared" si="8"/>
        <v>-3.3351331504719139E-2</v>
      </c>
      <c r="E83" s="61"/>
      <c r="F83" s="64">
        <v>26046.95</v>
      </c>
      <c r="G83" s="67">
        <f t="shared" si="5"/>
        <v>-5.3271825696113995E-3</v>
      </c>
      <c r="M83" s="61"/>
      <c r="N83" s="61"/>
      <c r="O83" s="61"/>
      <c r="Q83" s="62"/>
      <c r="S83" s="175">
        <v>45999</v>
      </c>
      <c r="T83" s="64">
        <v>381.49</v>
      </c>
      <c r="U83" s="67">
        <f t="shared" si="6"/>
        <v>-1.1991090852584652E-2</v>
      </c>
      <c r="V83" s="59"/>
      <c r="W83" s="59"/>
      <c r="Y83" s="62"/>
      <c r="AG83" s="175">
        <v>45999</v>
      </c>
      <c r="AH83" s="64">
        <v>478.89</v>
      </c>
      <c r="AI83" s="67">
        <f t="shared" si="7"/>
        <v>0</v>
      </c>
      <c r="AJ83" s="59"/>
      <c r="AK83" s="59"/>
      <c r="AM83" s="62"/>
      <c r="AU83" s="175">
        <v>45999</v>
      </c>
      <c r="AV83" s="64">
        <v>5915.5</v>
      </c>
      <c r="AW83" s="67">
        <f t="shared" si="9"/>
        <v>-7.6329474920315832E-3</v>
      </c>
      <c r="AX83" s="67"/>
      <c r="AY83" s="67"/>
      <c r="AZ83" s="67"/>
      <c r="BA83" s="61"/>
      <c r="BB83" s="61"/>
      <c r="BD83" s="62"/>
    </row>
    <row r="84" spans="2:56" x14ac:dyDescent="0.3">
      <c r="B84" s="175">
        <v>46006</v>
      </c>
      <c r="C84" s="64">
        <v>2257.04</v>
      </c>
      <c r="D84" s="67">
        <f t="shared" si="8"/>
        <v>8.5797018553603888E-3</v>
      </c>
      <c r="E84" s="61"/>
      <c r="F84" s="64">
        <v>25966.400000000001</v>
      </c>
      <c r="G84" s="67">
        <f t="shared" si="5"/>
        <v>-3.0924925951022475E-3</v>
      </c>
      <c r="M84" s="61"/>
      <c r="N84" s="61"/>
      <c r="O84" s="61"/>
      <c r="Q84" s="62"/>
      <c r="S84" s="175">
        <v>46006</v>
      </c>
      <c r="T84" s="64">
        <v>382.4</v>
      </c>
      <c r="U84" s="67">
        <f t="shared" si="6"/>
        <v>2.3853836273557416E-3</v>
      </c>
      <c r="V84" s="59"/>
      <c r="W84" s="59"/>
      <c r="Y84" s="62"/>
      <c r="AG84" s="175">
        <v>46006</v>
      </c>
      <c r="AH84" s="64">
        <v>468.37</v>
      </c>
      <c r="AI84" s="67">
        <f t="shared" si="7"/>
        <v>-2.196746643279246E-2</v>
      </c>
      <c r="AJ84" s="59"/>
      <c r="AK84" s="59"/>
      <c r="AM84" s="62"/>
      <c r="AU84" s="175">
        <v>46006</v>
      </c>
      <c r="AV84" s="64">
        <v>6103</v>
      </c>
      <c r="AW84" s="67">
        <f t="shared" si="9"/>
        <v>3.1696390837629984E-2</v>
      </c>
      <c r="AX84" s="67"/>
      <c r="AY84" s="67"/>
      <c r="AZ84" s="67"/>
      <c r="BA84" s="60"/>
      <c r="BB84" s="60"/>
      <c r="BD84" s="60"/>
    </row>
    <row r="85" spans="2:56" x14ac:dyDescent="0.3">
      <c r="B85" s="175">
        <v>46013</v>
      </c>
      <c r="C85" s="64">
        <v>2262.39</v>
      </c>
      <c r="D85" s="67">
        <f t="shared" si="8"/>
        <v>2.3703611810157454E-3</v>
      </c>
      <c r="E85" s="61"/>
      <c r="F85" s="64">
        <v>26042.3</v>
      </c>
      <c r="G85" s="67">
        <f t="shared" si="5"/>
        <v>2.9230081952060782E-3</v>
      </c>
      <c r="M85" s="61"/>
      <c r="N85" s="61"/>
      <c r="O85" s="61"/>
      <c r="Q85" s="62"/>
      <c r="S85" s="175">
        <v>46013</v>
      </c>
      <c r="T85" s="64">
        <v>385.36</v>
      </c>
      <c r="U85" s="67">
        <f t="shared" si="6"/>
        <v>7.7405857740586725E-3</v>
      </c>
      <c r="V85" s="59"/>
      <c r="W85" s="59"/>
      <c r="Y85" s="62"/>
      <c r="AG85" s="175">
        <v>46013</v>
      </c>
      <c r="AH85" s="64">
        <v>481.79</v>
      </c>
      <c r="AI85" s="67">
        <f t="shared" si="7"/>
        <v>2.8652561009458344E-2</v>
      </c>
      <c r="AJ85" s="59"/>
      <c r="AK85" s="59"/>
      <c r="AM85" s="62"/>
      <c r="AU85" s="175">
        <v>46013</v>
      </c>
      <c r="AV85" s="64">
        <v>6032.5</v>
      </c>
      <c r="AW85" s="67">
        <f t="shared" si="9"/>
        <v>-1.1551695887268565E-2</v>
      </c>
      <c r="AX85" s="67"/>
      <c r="AY85" s="67"/>
      <c r="AZ85" s="67"/>
      <c r="BA85" s="61"/>
      <c r="BB85" s="61"/>
      <c r="BD85" s="62"/>
    </row>
    <row r="86" spans="2:56" x14ac:dyDescent="0.3">
      <c r="B86" s="175">
        <v>46020</v>
      </c>
      <c r="C86" s="64">
        <v>2324.36</v>
      </c>
      <c r="D86" s="67">
        <f t="shared" si="8"/>
        <v>2.7391386984560784E-2</v>
      </c>
      <c r="E86" s="61"/>
      <c r="F86" s="64">
        <v>26328.55</v>
      </c>
      <c r="G86" s="67">
        <f t="shared" si="5"/>
        <v>1.0991732681061128E-2</v>
      </c>
      <c r="M86" s="61"/>
      <c r="N86" s="61"/>
      <c r="O86" s="61"/>
      <c r="Q86" s="62"/>
      <c r="S86" s="175">
        <v>46020</v>
      </c>
      <c r="T86" s="64">
        <v>333.77</v>
      </c>
      <c r="U86" s="67">
        <f t="shared" si="6"/>
        <v>-0.13387481835167125</v>
      </c>
      <c r="V86" s="59"/>
      <c r="W86" s="59"/>
      <c r="Y86" s="62"/>
      <c r="AG86" s="175">
        <v>46020</v>
      </c>
      <c r="AH86" s="64">
        <v>492.71</v>
      </c>
      <c r="AI86" s="67">
        <f t="shared" si="7"/>
        <v>2.2665476659955441E-2</v>
      </c>
      <c r="AJ86" s="59"/>
      <c r="AK86" s="59"/>
      <c r="AM86" s="62"/>
      <c r="AU86" s="175">
        <v>46020</v>
      </c>
      <c r="AV86" s="64">
        <v>5984.5</v>
      </c>
      <c r="AW86" s="67">
        <f t="shared" si="9"/>
        <v>-7.9569001243265935E-3</v>
      </c>
      <c r="AX86" s="67"/>
      <c r="AY86" s="67"/>
      <c r="AZ86" s="67"/>
      <c r="BA86" s="61"/>
      <c r="BB86" s="61"/>
      <c r="BD86" s="62"/>
    </row>
    <row r="87" spans="2:56" x14ac:dyDescent="0.3">
      <c r="B87" s="175">
        <v>46027</v>
      </c>
      <c r="C87" s="64">
        <v>2348.71</v>
      </c>
      <c r="D87" s="67">
        <f t="shared" si="8"/>
        <v>1.047600199624843E-2</v>
      </c>
      <c r="E87" s="61"/>
      <c r="F87" s="64">
        <v>25683.3</v>
      </c>
      <c r="G87" s="67">
        <f t="shared" si="5"/>
        <v>-2.4507616256877029E-2</v>
      </c>
      <c r="M87" s="61"/>
      <c r="N87" s="61"/>
      <c r="O87" s="61"/>
      <c r="Q87" s="62"/>
      <c r="S87" s="175">
        <v>46027</v>
      </c>
      <c r="T87" s="64">
        <v>321.47000000000003</v>
      </c>
      <c r="U87" s="67">
        <f t="shared" si="6"/>
        <v>-3.6851724241243833E-2</v>
      </c>
      <c r="V87" s="59"/>
      <c r="W87" s="59"/>
      <c r="Y87" s="62"/>
      <c r="AG87" s="175">
        <v>46027</v>
      </c>
      <c r="AH87" s="64">
        <v>487.92</v>
      </c>
      <c r="AI87" s="67">
        <f t="shared" si="7"/>
        <v>-9.7217430131313343E-3</v>
      </c>
      <c r="AJ87" s="59"/>
      <c r="AK87" s="59"/>
      <c r="AM87" s="62"/>
      <c r="AU87" s="175">
        <v>46027</v>
      </c>
      <c r="AV87" s="64">
        <v>5977.5</v>
      </c>
      <c r="AW87" s="67">
        <f t="shared" si="9"/>
        <v>-1.1696883616008069E-3</v>
      </c>
      <c r="AX87" s="67"/>
      <c r="AY87" s="67"/>
      <c r="AZ87" s="67"/>
      <c r="BA87" s="61"/>
      <c r="BB87" s="61"/>
      <c r="BD87" s="62"/>
    </row>
    <row r="88" spans="2:56" x14ac:dyDescent="0.3">
      <c r="B88" s="175">
        <v>46034</v>
      </c>
      <c r="C88" s="64">
        <v>2336.63</v>
      </c>
      <c r="D88" s="67">
        <f t="shared" si="8"/>
        <v>-5.1432488472394899E-3</v>
      </c>
      <c r="E88" s="61"/>
      <c r="F88" s="64">
        <v>25694.35</v>
      </c>
      <c r="G88" s="67">
        <f t="shared" si="5"/>
        <v>4.3024066222008273E-4</v>
      </c>
      <c r="M88" s="61"/>
      <c r="N88" s="61"/>
      <c r="O88" s="61"/>
      <c r="Q88" s="62"/>
      <c r="S88" s="175">
        <v>46034</v>
      </c>
      <c r="T88" s="64">
        <v>313.89</v>
      </c>
      <c r="U88" s="67">
        <f t="shared" si="6"/>
        <v>-2.3579183127508174E-2</v>
      </c>
      <c r="V88" s="59"/>
      <c r="W88" s="59"/>
      <c r="Y88" s="62"/>
      <c r="AG88" s="175">
        <v>46034</v>
      </c>
      <c r="AH88" s="64">
        <v>499.3</v>
      </c>
      <c r="AI88" s="67">
        <f t="shared" si="7"/>
        <v>2.332349565502545E-2</v>
      </c>
      <c r="AJ88" s="59"/>
      <c r="AK88" s="59"/>
      <c r="AM88" s="62"/>
      <c r="AU88" s="175">
        <v>46034</v>
      </c>
      <c r="AV88" s="64">
        <v>5898.5</v>
      </c>
      <c r="AW88" s="67">
        <f t="shared" si="9"/>
        <v>-1.3216227519866175E-2</v>
      </c>
      <c r="AX88" s="67"/>
      <c r="AY88" s="67"/>
      <c r="AZ88" s="67"/>
      <c r="BA88" s="61"/>
      <c r="BB88" s="61"/>
      <c r="BD88" s="62"/>
    </row>
    <row r="89" spans="2:56" x14ac:dyDescent="0.3">
      <c r="B89" s="175">
        <v>46041</v>
      </c>
      <c r="C89" s="64">
        <v>2385.2399999999998</v>
      </c>
      <c r="D89" s="67">
        <f t="shared" si="8"/>
        <v>2.0803464818991202E-2</v>
      </c>
      <c r="E89" s="61"/>
      <c r="F89" s="64">
        <v>25048.65</v>
      </c>
      <c r="G89" s="67">
        <f t="shared" si="5"/>
        <v>-2.5130038315816394E-2</v>
      </c>
      <c r="M89" s="61"/>
      <c r="N89" s="61"/>
      <c r="O89" s="61"/>
      <c r="Q89" s="62"/>
      <c r="S89" s="175">
        <v>46041</v>
      </c>
      <c r="T89" s="64">
        <v>308.36</v>
      </c>
      <c r="U89" s="67">
        <f t="shared" si="6"/>
        <v>-1.7617636751728227E-2</v>
      </c>
      <c r="V89" s="59"/>
      <c r="W89" s="59"/>
      <c r="Y89" s="62"/>
      <c r="AG89" s="175">
        <v>46041</v>
      </c>
      <c r="AH89" s="64">
        <v>473.06</v>
      </c>
      <c r="AI89" s="67">
        <f t="shared" si="7"/>
        <v>-5.2553575005007014E-2</v>
      </c>
      <c r="AJ89" s="59"/>
      <c r="AK89" s="59"/>
      <c r="AM89" s="62"/>
      <c r="AU89" s="175">
        <v>46041</v>
      </c>
      <c r="AV89" s="64">
        <v>5835</v>
      </c>
      <c r="AW89" s="67">
        <f t="shared" si="9"/>
        <v>-1.0765448842926184E-2</v>
      </c>
      <c r="AX89" s="67"/>
      <c r="AY89" s="67"/>
      <c r="AZ89" s="67"/>
      <c r="BA89" s="61"/>
      <c r="BB89" s="61"/>
      <c r="BD89" s="62"/>
    </row>
    <row r="90" spans="2:56" x14ac:dyDescent="0.3">
      <c r="B90" s="175">
        <v>46048</v>
      </c>
      <c r="C90" s="64">
        <v>2327.0300000000002</v>
      </c>
      <c r="D90" s="67">
        <f t="shared" si="8"/>
        <v>-2.4404252821518813E-2</v>
      </c>
      <c r="E90" s="61"/>
      <c r="F90" s="64">
        <v>24825.45</v>
      </c>
      <c r="G90" s="67">
        <f t="shared" si="5"/>
        <v>-8.9106598559204331E-3</v>
      </c>
      <c r="M90" s="61"/>
      <c r="N90" s="61"/>
      <c r="O90" s="61"/>
      <c r="Q90" s="62"/>
      <c r="S90" s="175">
        <v>46048</v>
      </c>
      <c r="T90" s="64">
        <v>295.06</v>
      </c>
      <c r="U90" s="67">
        <f t="shared" si="6"/>
        <v>-4.3131404851472377E-2</v>
      </c>
      <c r="V90" s="59"/>
      <c r="W90" s="59"/>
      <c r="Y90" s="62"/>
      <c r="AG90" s="175">
        <v>46048</v>
      </c>
      <c r="AH90" s="64">
        <v>468.07</v>
      </c>
      <c r="AI90" s="67">
        <f t="shared" si="7"/>
        <v>-1.0548344818839039E-2</v>
      </c>
      <c r="AJ90" s="59"/>
      <c r="AK90" s="59"/>
      <c r="AM90" s="62"/>
      <c r="AU90" s="175">
        <v>46048</v>
      </c>
      <c r="AV90" s="64">
        <v>5757.5</v>
      </c>
      <c r="AW90" s="67">
        <f t="shared" si="9"/>
        <v>-1.32819194515853E-2</v>
      </c>
      <c r="AX90" s="67"/>
      <c r="AY90" s="67"/>
      <c r="AZ90" s="67"/>
      <c r="BA90" s="61"/>
      <c r="BB90" s="61"/>
      <c r="BD90" s="62"/>
    </row>
    <row r="91" spans="2:56" x14ac:dyDescent="0.3">
      <c r="B91" s="175">
        <v>46055</v>
      </c>
      <c r="C91" s="64">
        <v>2399.79</v>
      </c>
      <c r="D91" s="67">
        <f t="shared" si="8"/>
        <v>3.1267323584139417E-2</v>
      </c>
      <c r="E91" s="61"/>
      <c r="F91" s="64">
        <v>25693.7</v>
      </c>
      <c r="G91" s="67">
        <f t="shared" si="5"/>
        <v>3.4974189793135713E-2</v>
      </c>
      <c r="M91" s="61"/>
      <c r="N91" s="61"/>
      <c r="O91" s="61"/>
      <c r="Q91" s="62"/>
      <c r="S91" s="175">
        <v>46055</v>
      </c>
      <c r="T91" s="64">
        <v>310.64999999999998</v>
      </c>
      <c r="U91" s="67">
        <f t="shared" si="6"/>
        <v>5.283671117738753E-2</v>
      </c>
      <c r="V91" s="59"/>
      <c r="W91" s="59"/>
      <c r="Y91" s="62"/>
      <c r="AG91" s="175">
        <v>46055</v>
      </c>
      <c r="AH91" s="64">
        <v>438.08</v>
      </c>
      <c r="AI91" s="67">
        <f t="shared" si="7"/>
        <v>-6.4071613220244905E-2</v>
      </c>
      <c r="AJ91" s="59"/>
      <c r="AK91" s="59"/>
      <c r="AM91" s="62"/>
      <c r="AU91" s="175">
        <v>46055</v>
      </c>
      <c r="AV91" s="64">
        <v>5911</v>
      </c>
      <c r="AW91" s="67">
        <f t="shared" si="9"/>
        <v>2.6660877116804205E-2</v>
      </c>
      <c r="AX91" s="67"/>
      <c r="AY91" s="67"/>
      <c r="AZ91" s="67"/>
      <c r="BA91" s="61"/>
      <c r="BB91" s="61"/>
      <c r="BD91" s="62"/>
    </row>
    <row r="92" spans="2:56" x14ac:dyDescent="0.3">
      <c r="B92" s="175">
        <v>46062</v>
      </c>
      <c r="C92" s="64">
        <v>2281.9899999999998</v>
      </c>
      <c r="D92" s="67">
        <f t="shared" si="8"/>
        <v>-4.9087628500827263E-2</v>
      </c>
      <c r="E92" s="61"/>
      <c r="F92" s="64">
        <v>25471.1</v>
      </c>
      <c r="G92" s="67">
        <f t="shared" si="5"/>
        <v>-8.6636023616685209E-3</v>
      </c>
      <c r="M92" s="61"/>
      <c r="N92" s="61"/>
      <c r="O92" s="61"/>
      <c r="Q92" s="62"/>
      <c r="S92" s="175">
        <v>46062</v>
      </c>
      <c r="T92" s="64">
        <v>305.43</v>
      </c>
      <c r="U92" s="67">
        <f t="shared" si="6"/>
        <v>-1.6803476581361609E-2</v>
      </c>
      <c r="V92" s="59"/>
      <c r="W92" s="59"/>
      <c r="Y92" s="62"/>
      <c r="AG92" s="175">
        <v>46062</v>
      </c>
      <c r="AH92" s="64">
        <v>448.31</v>
      </c>
      <c r="AI92" s="67">
        <f t="shared" si="7"/>
        <v>2.3351899196493831E-2</v>
      </c>
      <c r="AJ92" s="59"/>
      <c r="AK92" s="59"/>
      <c r="AM92" s="62"/>
      <c r="AU92" s="175">
        <v>46062</v>
      </c>
      <c r="AV92" s="64">
        <v>5980.5</v>
      </c>
      <c r="AW92" s="67">
        <f t="shared" si="9"/>
        <v>1.1757739807139123E-2</v>
      </c>
      <c r="AX92" s="67"/>
      <c r="AY92" s="67"/>
      <c r="AZ92" s="67"/>
      <c r="BA92" s="61"/>
      <c r="BB92" s="61"/>
      <c r="BD92" s="62"/>
    </row>
    <row r="93" spans="2:56" x14ac:dyDescent="0.3">
      <c r="B93" s="175">
        <v>46069</v>
      </c>
      <c r="C93" s="64">
        <v>2291.1999999999998</v>
      </c>
      <c r="D93" s="67">
        <f t="shared" si="8"/>
        <v>4.0359510777874252E-3</v>
      </c>
      <c r="E93" s="61"/>
      <c r="F93" s="64">
        <v>25571.25</v>
      </c>
      <c r="G93" s="67">
        <f t="shared" si="5"/>
        <v>3.9319071418195684E-3</v>
      </c>
      <c r="M93" s="61"/>
      <c r="N93" s="61"/>
      <c r="O93" s="61"/>
      <c r="Q93" s="62"/>
      <c r="S93" s="175">
        <v>46069</v>
      </c>
      <c r="T93" s="64">
        <v>318.33</v>
      </c>
      <c r="U93" s="67">
        <f t="shared" si="6"/>
        <v>4.2235536784205774E-2</v>
      </c>
      <c r="V93" s="59"/>
      <c r="W93" s="59"/>
      <c r="Y93" s="62"/>
      <c r="AG93" s="175">
        <v>46069</v>
      </c>
      <c r="AH93" s="64">
        <v>452.85</v>
      </c>
      <c r="AI93" s="67">
        <f t="shared" si="7"/>
        <v>1.0126921103700504E-2</v>
      </c>
      <c r="AJ93" s="59"/>
      <c r="AK93" s="59"/>
      <c r="AM93" s="62"/>
      <c r="AU93" s="175">
        <v>46069</v>
      </c>
      <c r="AV93" s="64">
        <v>6098.5</v>
      </c>
      <c r="AW93" s="67">
        <f t="shared" si="9"/>
        <v>1.9730791739821063E-2</v>
      </c>
      <c r="AX93" s="67"/>
      <c r="AY93" s="67"/>
      <c r="AZ93" s="67"/>
      <c r="BA93" s="61"/>
      <c r="BB93" s="61"/>
      <c r="BD93" s="62"/>
    </row>
    <row r="94" spans="2:56" x14ac:dyDescent="0.3">
      <c r="B94" s="175">
        <v>46076</v>
      </c>
      <c r="C94" s="64">
        <v>2314.56</v>
      </c>
      <c r="D94" s="67">
        <f t="shared" si="8"/>
        <v>1.0195530726257118E-2</v>
      </c>
      <c r="E94" s="61"/>
      <c r="F94" s="64">
        <v>25178.65</v>
      </c>
      <c r="G94" s="67">
        <f t="shared" si="5"/>
        <v>-1.5353179840641329E-2</v>
      </c>
      <c r="M94" s="61"/>
      <c r="N94" s="61"/>
      <c r="O94" s="61"/>
      <c r="Q94" s="62"/>
      <c r="S94" s="175">
        <v>46076</v>
      </c>
      <c r="T94" s="64">
        <v>305.27999999999997</v>
      </c>
      <c r="U94" s="67">
        <f t="shared" si="6"/>
        <v>-4.0995193666949481E-2</v>
      </c>
      <c r="V94" s="59"/>
      <c r="W94" s="59"/>
      <c r="Y94" s="62"/>
      <c r="AG94" s="175">
        <v>46076</v>
      </c>
      <c r="AH94" s="64">
        <v>450.41</v>
      </c>
      <c r="AI94" s="67">
        <f t="shared" si="7"/>
        <v>-5.3880976040631134E-3</v>
      </c>
      <c r="AJ94" s="59"/>
      <c r="AK94" s="59"/>
      <c r="AM94" s="62"/>
      <c r="AU94" s="175">
        <v>46076</v>
      </c>
      <c r="AV94" s="64">
        <v>6002.5</v>
      </c>
      <c r="AW94" s="67">
        <f t="shared" si="9"/>
        <v>-1.5741575797327156E-2</v>
      </c>
      <c r="AX94" s="67"/>
      <c r="AY94" s="67"/>
      <c r="AZ94" s="67"/>
      <c r="BA94" s="61"/>
      <c r="BB94" s="61"/>
      <c r="BD94" s="62"/>
    </row>
    <row r="95" spans="2:56" x14ac:dyDescent="0.3">
      <c r="B95" s="175">
        <v>46083</v>
      </c>
      <c r="C95" s="64">
        <v>2203.29</v>
      </c>
      <c r="D95" s="67">
        <f t="shared" si="8"/>
        <v>-4.8073931978432127E-2</v>
      </c>
      <c r="E95" s="61"/>
      <c r="F95" s="64">
        <v>24450.45</v>
      </c>
      <c r="G95" s="67">
        <f t="shared" si="5"/>
        <v>-2.892132818876314E-2</v>
      </c>
      <c r="M95" s="61"/>
      <c r="N95" s="61"/>
      <c r="O95" s="61"/>
      <c r="Q95" s="62"/>
      <c r="S95" s="175">
        <v>46083</v>
      </c>
      <c r="T95" s="64">
        <v>301.49</v>
      </c>
      <c r="U95" s="67">
        <f t="shared" si="6"/>
        <v>-1.2414832285115196E-2</v>
      </c>
      <c r="V95" s="59"/>
      <c r="W95" s="59"/>
      <c r="Y95" s="62"/>
      <c r="AG95" s="175">
        <v>46083</v>
      </c>
      <c r="AH95" s="64">
        <v>446.66</v>
      </c>
      <c r="AI95" s="67">
        <f t="shared" si="7"/>
        <v>-8.3257476521391149E-3</v>
      </c>
      <c r="AJ95" s="59"/>
      <c r="AK95" s="59"/>
      <c r="AM95" s="62"/>
      <c r="AU95" s="175">
        <v>46083</v>
      </c>
      <c r="AV95" s="64">
        <v>5983</v>
      </c>
      <c r="AW95" s="67">
        <f t="shared" si="9"/>
        <v>-3.2486463973344648E-3</v>
      </c>
      <c r="AX95" s="67"/>
      <c r="AY95" s="67"/>
      <c r="AZ95" s="67"/>
      <c r="BA95" s="61"/>
      <c r="BB95" s="61"/>
      <c r="BD95" s="62"/>
    </row>
    <row r="96" spans="2:56" x14ac:dyDescent="0.3">
      <c r="B96" s="175">
        <v>46090</v>
      </c>
      <c r="C96" s="64">
        <v>2138.25</v>
      </c>
      <c r="D96" s="67">
        <f t="shared" si="8"/>
        <v>-2.9519491306183032E-2</v>
      </c>
      <c r="E96" s="61"/>
      <c r="F96" s="64">
        <v>23151.1</v>
      </c>
      <c r="G96" s="67">
        <f t="shared" si="5"/>
        <v>-5.3142171207482991E-2</v>
      </c>
      <c r="M96" s="61"/>
      <c r="N96" s="61"/>
      <c r="O96" s="61"/>
      <c r="Q96" s="62"/>
      <c r="S96" s="175">
        <v>46090</v>
      </c>
      <c r="T96" s="64">
        <v>293.45999999999998</v>
      </c>
      <c r="U96" s="67">
        <f t="shared" si="6"/>
        <v>-2.6634382566586012E-2</v>
      </c>
      <c r="V96" s="59"/>
      <c r="W96" s="59"/>
      <c r="Y96" s="62"/>
      <c r="AG96" s="175">
        <v>46090</v>
      </c>
      <c r="AH96" s="64">
        <v>400.42</v>
      </c>
      <c r="AI96" s="67">
        <f t="shared" si="7"/>
        <v>-0.10352393319303277</v>
      </c>
      <c r="AJ96" s="59"/>
      <c r="AK96" s="59"/>
      <c r="AM96" s="62"/>
      <c r="AU96" s="175">
        <v>46090</v>
      </c>
      <c r="AV96" s="64">
        <v>5808.5</v>
      </c>
      <c r="AW96" s="67">
        <f t="shared" si="9"/>
        <v>-2.9165970249038997E-2</v>
      </c>
      <c r="AX96" s="67"/>
      <c r="AY96" s="67"/>
      <c r="AZ96" s="67"/>
      <c r="BA96" s="61"/>
      <c r="BB96" s="61"/>
      <c r="BD96" s="62"/>
    </row>
    <row r="97" spans="2:56" x14ac:dyDescent="0.3">
      <c r="B97" s="175">
        <v>46097</v>
      </c>
      <c r="C97" s="64">
        <v>2061.73</v>
      </c>
      <c r="D97" s="67">
        <f t="shared" si="8"/>
        <v>-3.5786273822050685E-2</v>
      </c>
      <c r="E97" s="61"/>
      <c r="F97" s="64">
        <v>23114.5</v>
      </c>
      <c r="G97" s="67">
        <f t="shared" si="5"/>
        <v>-1.5809184012853805E-3</v>
      </c>
      <c r="M97" s="61"/>
      <c r="N97" s="61"/>
      <c r="O97" s="61"/>
      <c r="Q97" s="62"/>
      <c r="S97" s="175">
        <v>46097</v>
      </c>
      <c r="T97" s="64">
        <v>292</v>
      </c>
      <c r="U97" s="67">
        <f t="shared" si="6"/>
        <v>-4.9751243781094301E-3</v>
      </c>
      <c r="V97" s="59"/>
      <c r="W97" s="59"/>
      <c r="Y97" s="62"/>
      <c r="AG97" s="175">
        <v>46097</v>
      </c>
      <c r="AH97" s="64">
        <v>400.57</v>
      </c>
      <c r="AI97" s="67">
        <f t="shared" si="7"/>
        <v>3.7460666300370704E-4</v>
      </c>
      <c r="AJ97" s="59"/>
      <c r="AK97" s="59"/>
      <c r="AM97" s="62"/>
      <c r="AU97" s="175">
        <v>46097</v>
      </c>
      <c r="AV97" s="64">
        <v>5618.5</v>
      </c>
      <c r="AW97" s="67">
        <f t="shared" si="9"/>
        <v>-3.271068262029786E-2</v>
      </c>
      <c r="AX97" s="67"/>
      <c r="AY97" s="67"/>
      <c r="AZ97" s="67"/>
      <c r="BA97" s="61"/>
      <c r="BB97" s="61"/>
      <c r="BD97" s="62"/>
    </row>
    <row r="98" spans="2:56" x14ac:dyDescent="0.3">
      <c r="B98" s="175">
        <v>46104</v>
      </c>
      <c r="C98" s="64">
        <v>2053.5100000000002</v>
      </c>
      <c r="D98" s="67">
        <f t="shared" si="8"/>
        <v>-3.9869430041760134E-3</v>
      </c>
      <c r="E98" s="61"/>
      <c r="F98" s="64">
        <v>22819.599999999999</v>
      </c>
      <c r="G98" s="67">
        <f t="shared" si="5"/>
        <v>-1.275822535637805E-2</v>
      </c>
      <c r="M98" s="61"/>
      <c r="N98" s="61"/>
      <c r="O98" s="61"/>
      <c r="Q98" s="62"/>
      <c r="S98" s="175">
        <v>46104</v>
      </c>
      <c r="T98" s="64">
        <v>286.88</v>
      </c>
      <c r="U98" s="67">
        <f t="shared" si="6"/>
        <v>-1.7534246575342527E-2</v>
      </c>
      <c r="V98" s="59"/>
      <c r="W98" s="59"/>
      <c r="Y98" s="62"/>
      <c r="AG98" s="175">
        <v>46104</v>
      </c>
      <c r="AH98" s="64">
        <v>388.44</v>
      </c>
      <c r="AI98" s="67">
        <f t="shared" si="7"/>
        <v>-3.0281848366078279E-2</v>
      </c>
      <c r="AJ98" s="59"/>
      <c r="AK98" s="59"/>
      <c r="AM98" s="62"/>
      <c r="AU98" s="175">
        <v>46104</v>
      </c>
      <c r="AV98" s="64">
        <v>5500</v>
      </c>
      <c r="AW98" s="67">
        <f t="shared" si="9"/>
        <v>-2.1091038533416429E-2</v>
      </c>
      <c r="AX98" s="67"/>
      <c r="AY98" s="67"/>
      <c r="AZ98" s="67"/>
      <c r="BA98" s="61"/>
      <c r="BB98" s="61"/>
      <c r="BD98" s="62"/>
    </row>
    <row r="99" spans="2:56" x14ac:dyDescent="0.3">
      <c r="B99" s="175">
        <v>46111</v>
      </c>
      <c r="C99" s="64">
        <v>2044.5</v>
      </c>
      <c r="D99" s="67">
        <f t="shared" si="8"/>
        <v>-4.3876095076236243E-3</v>
      </c>
      <c r="E99" s="61"/>
      <c r="F99" s="64">
        <v>22713.1</v>
      </c>
      <c r="G99" s="67">
        <f t="shared" si="5"/>
        <v>-4.6670406142088616E-3</v>
      </c>
      <c r="M99" s="61"/>
      <c r="N99" s="61"/>
      <c r="O99" s="61"/>
      <c r="Q99" s="62"/>
      <c r="S99" s="175">
        <v>46111</v>
      </c>
      <c r="T99" s="64">
        <v>285.08</v>
      </c>
      <c r="U99" s="67">
        <f t="shared" si="6"/>
        <v>-6.2744004461796621E-3</v>
      </c>
      <c r="V99" s="59"/>
      <c r="W99" s="59"/>
      <c r="Y99" s="62"/>
      <c r="AG99" s="175">
        <v>46111</v>
      </c>
      <c r="AH99" s="64">
        <v>402.81</v>
      </c>
      <c r="AI99" s="67">
        <f t="shared" si="7"/>
        <v>3.6994130367624445E-2</v>
      </c>
      <c r="AJ99" s="59"/>
      <c r="AK99" s="59"/>
      <c r="AM99" s="62"/>
      <c r="AU99" s="175">
        <v>46111</v>
      </c>
      <c r="AV99" s="64">
        <v>5442</v>
      </c>
      <c r="AW99" s="67">
        <f t="shared" si="9"/>
        <v>-1.0545454545454525E-2</v>
      </c>
      <c r="AX99" s="67"/>
      <c r="AY99" s="67"/>
      <c r="AZ99" s="67"/>
      <c r="BA99" s="61"/>
      <c r="BB99" s="61"/>
      <c r="BD99" s="62"/>
    </row>
    <row r="100" spans="2:56" x14ac:dyDescent="0.3">
      <c r="B100" s="175">
        <v>46118</v>
      </c>
      <c r="C100" s="64">
        <v>2133.6</v>
      </c>
      <c r="D100" s="67">
        <f t="shared" si="8"/>
        <v>4.3580337490829013E-2</v>
      </c>
      <c r="E100" s="61"/>
      <c r="F100" s="64">
        <v>24050.6</v>
      </c>
      <c r="G100" s="67">
        <f t="shared" si="5"/>
        <v>5.8886721759689342E-2</v>
      </c>
      <c r="M100" s="61"/>
      <c r="N100" s="61"/>
      <c r="O100" s="61"/>
      <c r="Q100" s="62"/>
      <c r="S100" s="175">
        <v>46118</v>
      </c>
      <c r="T100" s="64">
        <v>296.18</v>
      </c>
      <c r="U100" s="67">
        <f t="shared" si="6"/>
        <v>3.8936438894345615E-2</v>
      </c>
      <c r="V100" s="59"/>
      <c r="W100" s="59"/>
      <c r="Y100" s="62"/>
      <c r="AG100" s="175">
        <v>46118</v>
      </c>
      <c r="AH100" s="64">
        <v>430.65</v>
      </c>
      <c r="AI100" s="67">
        <f t="shared" si="7"/>
        <v>6.9114470842332576E-2</v>
      </c>
      <c r="AJ100" s="59"/>
      <c r="AK100" s="59"/>
      <c r="AM100" s="62"/>
      <c r="AU100" s="175">
        <v>46118</v>
      </c>
      <c r="AV100" s="64">
        <v>5557.5</v>
      </c>
      <c r="AW100" s="67">
        <f t="shared" si="9"/>
        <v>2.1223814773980054E-2</v>
      </c>
      <c r="AX100" s="67"/>
      <c r="AY100" s="67"/>
      <c r="AZ100" s="67"/>
      <c r="BA100" s="61"/>
      <c r="BB100" s="61"/>
      <c r="BD100" s="62"/>
    </row>
    <row r="101" spans="2:56" x14ac:dyDescent="0.3">
      <c r="B101" s="175">
        <v>46125</v>
      </c>
      <c r="C101" s="64">
        <v>2218.2399999999998</v>
      </c>
      <c r="D101" s="67">
        <f t="shared" si="8"/>
        <v>3.9670041244844301E-2</v>
      </c>
      <c r="E101" s="60"/>
      <c r="F101" s="64">
        <v>24353.55</v>
      </c>
      <c r="G101" s="67">
        <f t="shared" si="5"/>
        <v>1.2596359342386565E-2</v>
      </c>
      <c r="M101" s="61"/>
      <c r="N101" s="61"/>
      <c r="O101" s="61"/>
      <c r="Q101" s="62"/>
      <c r="S101" s="175">
        <v>46125</v>
      </c>
      <c r="T101" s="64">
        <v>298.66000000000003</v>
      </c>
      <c r="U101" s="67">
        <f t="shared" si="6"/>
        <v>8.3732865149572788E-3</v>
      </c>
      <c r="V101" s="59"/>
      <c r="W101" s="59"/>
      <c r="Y101" s="62"/>
      <c r="AG101" s="175">
        <v>46125</v>
      </c>
      <c r="AH101" s="64">
        <v>473.45</v>
      </c>
      <c r="AI101" s="67">
        <f t="shared" si="7"/>
        <v>9.9384651108789024E-2</v>
      </c>
      <c r="AJ101" s="59"/>
      <c r="AK101" s="59"/>
      <c r="AM101" s="62"/>
      <c r="AU101" s="175">
        <v>46125</v>
      </c>
      <c r="AV101" s="64">
        <v>5735.5</v>
      </c>
      <c r="AW101" s="67">
        <f t="shared" si="9"/>
        <v>3.2028789923526757E-2</v>
      </c>
      <c r="AX101" s="67"/>
      <c r="AY101" s="67"/>
      <c r="AZ101" s="67"/>
      <c r="BA101" s="61"/>
      <c r="BB101" s="61"/>
      <c r="BD101" s="62"/>
    </row>
    <row r="102" spans="2:56" x14ac:dyDescent="0.3">
      <c r="B102" s="175">
        <v>46132</v>
      </c>
      <c r="C102" s="64">
        <v>2303.87</v>
      </c>
      <c r="D102" s="67">
        <f t="shared" si="8"/>
        <v>3.8602675995383695E-2</v>
      </c>
      <c r="E102" s="61"/>
      <c r="F102" s="64">
        <v>23897.95</v>
      </c>
      <c r="G102" s="67">
        <f t="shared" si="5"/>
        <v>-1.8707744866764742E-2</v>
      </c>
      <c r="M102" s="61"/>
      <c r="N102" s="61"/>
      <c r="O102" s="61"/>
      <c r="Q102" s="62"/>
      <c r="S102" s="175">
        <v>46132</v>
      </c>
      <c r="T102" s="64">
        <v>293.60000000000002</v>
      </c>
      <c r="U102" s="67">
        <f t="shared" si="6"/>
        <v>-1.6942342463001414E-2</v>
      </c>
      <c r="V102" s="60"/>
      <c r="W102" s="60"/>
      <c r="Y102" s="60"/>
      <c r="AG102" s="175">
        <v>46132</v>
      </c>
      <c r="AH102" s="64">
        <v>489.98</v>
      </c>
      <c r="AI102" s="67">
        <f t="shared" si="7"/>
        <v>3.4913929665223442E-2</v>
      </c>
      <c r="AJ102" s="59"/>
      <c r="AK102" s="59"/>
      <c r="AM102" s="62"/>
      <c r="AU102" s="175">
        <v>46132</v>
      </c>
      <c r="AV102" s="64">
        <v>5730.5</v>
      </c>
      <c r="AW102" s="67">
        <f t="shared" si="9"/>
        <v>-8.7176357771767687E-4</v>
      </c>
      <c r="AX102" s="67"/>
      <c r="AY102" s="67"/>
      <c r="AZ102" s="67"/>
      <c r="BA102" s="61"/>
      <c r="BB102" s="61"/>
      <c r="BD102" s="62"/>
    </row>
    <row r="103" spans="2:56" x14ac:dyDescent="0.3">
      <c r="B103" s="175">
        <v>46139</v>
      </c>
      <c r="C103" s="64">
        <v>2228.2399999999998</v>
      </c>
      <c r="D103" s="67">
        <f t="shared" si="8"/>
        <v>-3.2827373072265464E-2</v>
      </c>
      <c r="E103" s="61"/>
      <c r="F103" s="64">
        <v>23997.55</v>
      </c>
      <c r="G103" s="67">
        <f t="shared" si="5"/>
        <v>4.167721499124255E-3</v>
      </c>
      <c r="M103" s="61"/>
      <c r="N103" s="61"/>
      <c r="O103" s="61"/>
      <c r="Q103" s="62"/>
      <c r="S103" s="175">
        <v>46139</v>
      </c>
      <c r="T103" s="64">
        <v>306.55</v>
      </c>
      <c r="U103" s="67">
        <f t="shared" si="6"/>
        <v>4.4107629427792894E-2</v>
      </c>
      <c r="V103" s="59"/>
      <c r="W103" s="59"/>
      <c r="Y103" s="62"/>
      <c r="AG103" s="175">
        <v>46139</v>
      </c>
      <c r="AH103" s="64">
        <v>513.21</v>
      </c>
      <c r="AI103" s="67">
        <f t="shared" si="7"/>
        <v>4.7410098371362119E-2</v>
      </c>
      <c r="AJ103" s="59"/>
      <c r="AK103" s="59"/>
      <c r="AM103" s="62"/>
      <c r="AU103" s="175">
        <v>46139</v>
      </c>
      <c r="AV103" s="64">
        <v>5726</v>
      </c>
      <c r="AW103" s="67">
        <f t="shared" si="9"/>
        <v>-7.8527179129217473E-4</v>
      </c>
      <c r="AX103" s="67"/>
      <c r="AY103" s="67"/>
      <c r="AZ103" s="67"/>
      <c r="BA103" s="61"/>
      <c r="BB103" s="61"/>
      <c r="BD103" s="62"/>
    </row>
    <row r="104" spans="2:56" x14ac:dyDescent="0.3">
      <c r="B104" s="175">
        <v>46146</v>
      </c>
      <c r="C104" s="64">
        <v>2264.66</v>
      </c>
      <c r="D104" s="67">
        <f t="shared" si="8"/>
        <v>1.6344738448281992E-2</v>
      </c>
      <c r="E104" s="61"/>
      <c r="F104" s="64">
        <v>24176.15</v>
      </c>
      <c r="G104" s="67">
        <f t="shared" si="5"/>
        <v>7.4424264143633234E-3</v>
      </c>
      <c r="M104" s="61"/>
      <c r="N104" s="61"/>
      <c r="O104" s="61"/>
      <c r="Q104" s="62"/>
      <c r="S104" s="175">
        <v>46146</v>
      </c>
      <c r="T104" s="64">
        <v>299.3</v>
      </c>
      <c r="U104" s="67">
        <f t="shared" si="6"/>
        <v>-2.3650301745229196E-2</v>
      </c>
      <c r="V104" s="59"/>
      <c r="W104" s="59"/>
      <c r="Y104" s="62"/>
      <c r="AG104" s="175">
        <v>46146</v>
      </c>
      <c r="AH104" s="64">
        <v>508.85</v>
      </c>
      <c r="AI104" s="67">
        <f t="shared" si="7"/>
        <v>-8.4955476315738965E-3</v>
      </c>
      <c r="AJ104" s="59"/>
      <c r="AK104" s="59"/>
      <c r="AM104" s="62"/>
      <c r="AU104" s="175">
        <v>46146</v>
      </c>
      <c r="AV104" s="64">
        <v>5520</v>
      </c>
      <c r="AW104" s="67">
        <f t="shared" si="9"/>
        <v>-3.597624869018512E-2</v>
      </c>
      <c r="AX104" s="67"/>
      <c r="AY104" s="67"/>
      <c r="AZ104" s="67"/>
      <c r="BA104" s="60"/>
      <c r="BB104" s="60"/>
      <c r="BD104" s="60"/>
    </row>
    <row r="105" spans="2:56" x14ac:dyDescent="0.3">
      <c r="B105" s="175">
        <v>46153</v>
      </c>
      <c r="C105" s="64">
        <v>2249.3200000000002</v>
      </c>
      <c r="D105" s="67">
        <f t="shared" si="8"/>
        <v>-6.7736437257688298E-3</v>
      </c>
      <c r="E105" s="61"/>
      <c r="F105" s="64">
        <v>23643.5</v>
      </c>
      <c r="G105" s="67">
        <f t="shared" si="5"/>
        <v>-2.2032043977225579E-2</v>
      </c>
      <c r="M105" s="61"/>
      <c r="N105" s="61"/>
      <c r="O105" s="61"/>
      <c r="Q105" s="62"/>
      <c r="S105" s="175">
        <v>46153</v>
      </c>
      <c r="T105" s="64">
        <v>301.24</v>
      </c>
      <c r="U105" s="67">
        <f t="shared" si="6"/>
        <v>6.4817908453056461E-3</v>
      </c>
      <c r="V105" s="59"/>
      <c r="W105" s="59"/>
      <c r="Y105" s="62"/>
      <c r="AG105" s="175">
        <v>46153</v>
      </c>
      <c r="AH105" s="64">
        <v>503.8</v>
      </c>
      <c r="AI105" s="67">
        <f t="shared" si="7"/>
        <v>-9.9243391962268168E-3</v>
      </c>
      <c r="AJ105" s="59"/>
      <c r="AK105" s="59"/>
      <c r="AM105" s="62"/>
      <c r="AU105" s="175">
        <v>46153</v>
      </c>
      <c r="AV105" s="64">
        <v>5406</v>
      </c>
      <c r="AW105" s="67">
        <f t="shared" si="9"/>
        <v>-2.0652173913043526E-2</v>
      </c>
      <c r="AX105" s="67"/>
      <c r="AY105" s="67"/>
      <c r="AZ105" s="67"/>
      <c r="BA105" s="61"/>
      <c r="BB105" s="61"/>
      <c r="BD105" s="62"/>
    </row>
    <row r="106" spans="2:56" x14ac:dyDescent="0.3">
      <c r="B106" s="175">
        <v>46160</v>
      </c>
      <c r="C106" s="64">
        <v>2181.41</v>
      </c>
      <c r="D106" s="67">
        <f t="shared" si="8"/>
        <v>-3.0191346718119405E-2</v>
      </c>
      <c r="E106" s="61"/>
      <c r="F106" s="64">
        <v>23719.3</v>
      </c>
      <c r="G106" s="67">
        <f t="shared" si="5"/>
        <v>3.2059551250871454E-3</v>
      </c>
      <c r="M106" s="61"/>
      <c r="N106" s="61"/>
      <c r="O106" s="61"/>
      <c r="Q106" s="62"/>
      <c r="S106" s="175">
        <v>46160</v>
      </c>
      <c r="T106" s="64">
        <v>293.7</v>
      </c>
      <c r="U106" s="67">
        <f t="shared" si="6"/>
        <v>-2.5029876510423654E-2</v>
      </c>
      <c r="V106" s="59"/>
      <c r="W106" s="59"/>
      <c r="Y106" s="62"/>
      <c r="AG106" s="175">
        <v>46160</v>
      </c>
      <c r="AH106" s="64">
        <v>539.45000000000005</v>
      </c>
      <c r="AI106" s="67">
        <f t="shared" si="7"/>
        <v>7.0762207225089302E-2</v>
      </c>
      <c r="AJ106" s="59"/>
      <c r="AK106" s="59"/>
      <c r="AM106" s="62"/>
      <c r="AU106" s="175">
        <v>46160</v>
      </c>
      <c r="AV106" s="64">
        <v>5331.5</v>
      </c>
      <c r="AW106" s="67">
        <f t="shared" si="9"/>
        <v>-1.3780984091749882E-2</v>
      </c>
      <c r="AX106" s="67"/>
      <c r="AY106" s="67"/>
      <c r="AZ106" s="67"/>
      <c r="BA106" s="61"/>
      <c r="BB106" s="61"/>
      <c r="BD106" s="62"/>
    </row>
    <row r="107" spans="2:56" x14ac:dyDescent="0.3">
      <c r="B107" s="175">
        <v>46167</v>
      </c>
      <c r="C107" s="64">
        <v>2131.8200000000002</v>
      </c>
      <c r="D107" s="67">
        <f t="shared" si="8"/>
        <v>-2.2733002965971361E-2</v>
      </c>
      <c r="E107" s="61"/>
      <c r="F107" s="64">
        <v>23547.75</v>
      </c>
      <c r="G107" s="67">
        <f t="shared" si="5"/>
        <v>-7.2325068615008981E-3</v>
      </c>
      <c r="M107" s="61"/>
      <c r="N107" s="61"/>
      <c r="O107" s="61"/>
      <c r="Q107" s="62"/>
      <c r="S107" s="175">
        <v>46167</v>
      </c>
      <c r="T107" s="64">
        <v>279.29000000000002</v>
      </c>
      <c r="U107" s="67">
        <f t="shared" si="6"/>
        <v>-4.9063670411984894E-2</v>
      </c>
      <c r="V107" s="59"/>
      <c r="W107" s="59"/>
      <c r="Y107" s="62"/>
      <c r="AG107" s="175">
        <v>46167</v>
      </c>
      <c r="AH107" s="64">
        <v>528</v>
      </c>
      <c r="AI107" s="67">
        <f t="shared" si="7"/>
        <v>-2.1225322087311205E-2</v>
      </c>
      <c r="AJ107" s="59"/>
      <c r="AK107" s="59"/>
      <c r="AM107" s="62"/>
      <c r="AU107" s="175">
        <v>46167</v>
      </c>
      <c r="AV107" s="64">
        <v>5204.5</v>
      </c>
      <c r="AW107" s="67">
        <f t="shared" si="9"/>
        <v>-2.382068836162432E-2</v>
      </c>
      <c r="AX107" s="67"/>
      <c r="AY107" s="67"/>
      <c r="AZ107" s="67"/>
      <c r="BA107" s="61"/>
      <c r="BB107" s="61"/>
      <c r="BD107" s="62"/>
    </row>
    <row r="108" spans="2:56" x14ac:dyDescent="0.3">
      <c r="B108" s="175">
        <v>46174</v>
      </c>
      <c r="C108" s="64">
        <v>2100.14</v>
      </c>
      <c r="D108" s="67">
        <f t="shared" si="8"/>
        <v>-1.4860541696766316E-2</v>
      </c>
      <c r="E108" s="61"/>
      <c r="F108" s="64">
        <v>23366.7</v>
      </c>
      <c r="G108" s="67">
        <f t="shared" si="5"/>
        <v>-7.6886326719113329E-3</v>
      </c>
      <c r="M108" s="61"/>
      <c r="N108" s="61"/>
      <c r="O108" s="61"/>
      <c r="Q108" s="62"/>
      <c r="S108" s="175">
        <v>46174</v>
      </c>
      <c r="T108" s="64">
        <v>280.7</v>
      </c>
      <c r="U108" s="67">
        <f t="shared" si="6"/>
        <v>5.0485158795516849E-3</v>
      </c>
      <c r="V108" s="59"/>
      <c r="W108" s="59"/>
      <c r="Y108" s="62"/>
      <c r="AG108" s="175">
        <v>46174</v>
      </c>
      <c r="AH108" s="64">
        <v>523.29999999999995</v>
      </c>
      <c r="AI108" s="67">
        <f t="shared" si="7"/>
        <v>-8.9015151515152713E-3</v>
      </c>
      <c r="AJ108" s="59"/>
      <c r="AK108" s="59"/>
      <c r="AM108" s="62"/>
      <c r="AU108" s="175">
        <v>46174</v>
      </c>
      <c r="AV108" s="64">
        <v>5120.5</v>
      </c>
      <c r="AW108" s="67">
        <f t="shared" si="9"/>
        <v>-1.6139878950907849E-2</v>
      </c>
      <c r="AX108" s="67"/>
      <c r="AY108" s="67"/>
      <c r="AZ108" s="67"/>
      <c r="BA108" s="61"/>
      <c r="BB108" s="61"/>
      <c r="BD108" s="62"/>
    </row>
    <row r="109" spans="2:56" x14ac:dyDescent="0.3">
      <c r="B109" s="175">
        <v>46181</v>
      </c>
      <c r="C109" s="64">
        <v>2146.96</v>
      </c>
      <c r="D109" s="67">
        <f t="shared" si="8"/>
        <v>2.2293751845115173E-2</v>
      </c>
      <c r="E109" s="61"/>
      <c r="F109" s="64">
        <v>23622.9</v>
      </c>
      <c r="G109" s="67">
        <f t="shared" si="5"/>
        <v>1.0964321020940027E-2</v>
      </c>
      <c r="M109" s="61"/>
      <c r="N109" s="61"/>
      <c r="O109" s="61"/>
      <c r="Q109" s="62"/>
      <c r="S109" s="175">
        <v>46181</v>
      </c>
      <c r="T109" s="64">
        <v>285.10000000000002</v>
      </c>
      <c r="U109" s="67">
        <f t="shared" si="6"/>
        <v>1.5675097969362506E-2</v>
      </c>
      <c r="V109" s="59"/>
      <c r="W109" s="59"/>
      <c r="Y109" s="62"/>
      <c r="AG109" s="175">
        <v>46181</v>
      </c>
      <c r="AH109" s="64">
        <v>522.20000000000005</v>
      </c>
      <c r="AI109" s="67">
        <f t="shared" si="7"/>
        <v>-2.1020447162237721E-3</v>
      </c>
      <c r="AJ109" s="59"/>
      <c r="AK109" s="59"/>
      <c r="AM109" s="62"/>
      <c r="AU109" s="175">
        <v>46181</v>
      </c>
      <c r="AV109" s="64">
        <v>5165.5</v>
      </c>
      <c r="AW109" s="67">
        <f t="shared" si="9"/>
        <v>8.7882042769260593E-3</v>
      </c>
      <c r="AX109" s="67"/>
      <c r="AY109" s="67"/>
      <c r="AZ109" s="67"/>
      <c r="BA109" s="61"/>
      <c r="BB109" s="61"/>
      <c r="BD109" s="62"/>
    </row>
    <row r="110" spans="2:56" x14ac:dyDescent="0.3">
      <c r="B110" s="175">
        <v>46188</v>
      </c>
      <c r="C110" s="64">
        <v>2172.5</v>
      </c>
      <c r="D110" s="67">
        <f t="shared" si="8"/>
        <v>1.1895890002608267E-2</v>
      </c>
      <c r="E110" s="61"/>
      <c r="F110" s="64">
        <v>23989.15</v>
      </c>
      <c r="G110" s="67">
        <f t="shared" si="5"/>
        <v>1.55040236380799E-2</v>
      </c>
      <c r="M110" s="61"/>
      <c r="N110" s="61"/>
      <c r="O110" s="61"/>
      <c r="Q110" s="62"/>
      <c r="S110" s="175">
        <v>46188</v>
      </c>
      <c r="T110" s="64">
        <v>292.5</v>
      </c>
      <c r="U110" s="67">
        <f t="shared" si="6"/>
        <v>2.5955804980708486E-2</v>
      </c>
      <c r="V110" s="59"/>
      <c r="W110" s="59"/>
      <c r="Y110" s="62"/>
      <c r="AG110" s="175">
        <v>46188</v>
      </c>
      <c r="AH110" s="64">
        <v>529.5</v>
      </c>
      <c r="AI110" s="67">
        <f t="shared" si="7"/>
        <v>1.397931826886234E-2</v>
      </c>
      <c r="AJ110" s="59"/>
      <c r="AK110" s="59"/>
      <c r="AM110" s="62"/>
      <c r="AU110" s="175">
        <v>46188</v>
      </c>
      <c r="AV110" s="64">
        <v>5195</v>
      </c>
      <c r="AW110" s="67">
        <f t="shared" si="9"/>
        <v>5.7109669925468065E-3</v>
      </c>
      <c r="AX110" s="67"/>
      <c r="AY110" s="67"/>
      <c r="AZ110" s="67"/>
      <c r="BA110" s="61"/>
      <c r="BB110" s="61"/>
      <c r="BD110" s="62"/>
    </row>
    <row r="111" spans="2:56" x14ac:dyDescent="0.3">
      <c r="B111" s="175">
        <v>46195</v>
      </c>
      <c r="C111" s="64">
        <v>2162.9</v>
      </c>
      <c r="D111" s="67">
        <f t="shared" si="8"/>
        <v>-4.4188722669734615E-3</v>
      </c>
      <c r="E111" s="61"/>
      <c r="F111" s="64">
        <v>24102.9</v>
      </c>
      <c r="G111" s="67">
        <f t="shared" si="5"/>
        <v>4.741726989076378E-3</v>
      </c>
      <c r="M111" s="61"/>
      <c r="N111" s="61"/>
      <c r="O111" s="61"/>
      <c r="Q111" s="62"/>
      <c r="S111" s="175">
        <v>46195</v>
      </c>
      <c r="T111" s="64">
        <v>291.25</v>
      </c>
      <c r="U111" s="67">
        <f t="shared" si="6"/>
        <v>-4.2735042735042583E-3</v>
      </c>
      <c r="V111" s="59"/>
      <c r="W111" s="59"/>
      <c r="Y111" s="62"/>
      <c r="AG111" s="175">
        <v>46195</v>
      </c>
      <c r="AH111" s="64">
        <v>512.95000000000005</v>
      </c>
      <c r="AI111" s="67">
        <f t="shared" si="7"/>
        <v>-3.125590179414528E-2</v>
      </c>
      <c r="AJ111" s="59"/>
      <c r="AK111" s="59"/>
      <c r="AM111" s="62"/>
      <c r="AU111" s="175">
        <v>46195</v>
      </c>
      <c r="AV111" s="64">
        <v>5217.5</v>
      </c>
      <c r="AW111" s="67">
        <f t="shared" si="9"/>
        <v>4.3310875842155205E-3</v>
      </c>
      <c r="AX111" s="67"/>
      <c r="AY111" s="67"/>
      <c r="AZ111" s="67"/>
      <c r="BA111" s="61"/>
      <c r="BB111" s="61"/>
      <c r="BD111" s="62"/>
    </row>
    <row r="112" spans="2:56" x14ac:dyDescent="0.3">
      <c r="B112" s="175">
        <v>46196</v>
      </c>
      <c r="C112" s="64">
        <v>2166.9</v>
      </c>
      <c r="D112" s="67">
        <f t="shared" si="8"/>
        <v>1.8493689028618032E-3</v>
      </c>
      <c r="E112" s="61"/>
      <c r="F112" s="64">
        <v>23831.5</v>
      </c>
      <c r="G112" s="67">
        <f t="shared" si="5"/>
        <v>-1.1260055843902661E-2</v>
      </c>
      <c r="M112" s="61"/>
      <c r="N112" s="61"/>
      <c r="O112" s="61"/>
      <c r="Q112" s="62"/>
      <c r="S112" s="175">
        <v>46196</v>
      </c>
      <c r="T112" s="64">
        <v>290</v>
      </c>
      <c r="U112" s="67">
        <f t="shared" si="6"/>
        <v>-4.2918454935622075E-3</v>
      </c>
      <c r="V112" s="59"/>
      <c r="W112" s="59"/>
      <c r="Y112" s="62"/>
      <c r="AG112" s="175">
        <v>46196</v>
      </c>
      <c r="AH112" s="64">
        <v>504.3</v>
      </c>
      <c r="AI112" s="67">
        <f t="shared" si="7"/>
        <v>-1.6863242031387116E-2</v>
      </c>
      <c r="AJ112" s="59"/>
      <c r="AK112" s="59"/>
      <c r="AM112" s="62"/>
      <c r="AU112" s="175">
        <v>46196</v>
      </c>
      <c r="AV112" s="64">
        <v>5241</v>
      </c>
      <c r="AW112" s="67">
        <f t="shared" si="9"/>
        <v>4.5040728318159751E-3</v>
      </c>
      <c r="AX112" s="67"/>
      <c r="AY112" s="67"/>
      <c r="AZ112" s="67"/>
      <c r="BA112" s="61"/>
      <c r="BB112" s="61"/>
      <c r="BD112" s="62"/>
    </row>
    <row r="113" spans="4:56" x14ac:dyDescent="0.3">
      <c r="D113" s="61"/>
      <c r="E113" s="61"/>
      <c r="F113" s="64"/>
      <c r="G113" s="65"/>
      <c r="U113" s="59"/>
      <c r="V113" s="59"/>
      <c r="W113" s="59"/>
      <c r="Y113" s="62"/>
      <c r="AW113" s="61"/>
      <c r="AX113" s="61"/>
      <c r="AY113" s="61"/>
      <c r="AZ113" s="61"/>
      <c r="BA113" s="61"/>
      <c r="BB113" s="61"/>
      <c r="BD113" s="62"/>
    </row>
    <row r="114" spans="4:56" x14ac:dyDescent="0.3">
      <c r="D114" s="61"/>
      <c r="E114" s="61"/>
      <c r="G114" s="62"/>
      <c r="U114" s="59"/>
      <c r="V114" s="59"/>
      <c r="W114" s="59"/>
      <c r="Y114" s="62"/>
      <c r="AW114" s="61"/>
      <c r="AX114" s="61"/>
      <c r="AY114" s="61"/>
      <c r="AZ114" s="61"/>
      <c r="BA114" s="61"/>
      <c r="BB114" s="61"/>
      <c r="BD114" s="62"/>
    </row>
    <row r="115" spans="4:56" x14ac:dyDescent="0.3">
      <c r="D115" s="61"/>
      <c r="E115" s="61"/>
      <c r="G115" s="62"/>
      <c r="U115" s="59"/>
      <c r="V115" s="59"/>
      <c r="W115" s="59"/>
      <c r="Y115" s="62"/>
      <c r="AW115" s="61"/>
      <c r="AX115" s="61"/>
      <c r="AY115" s="61"/>
      <c r="AZ115" s="61"/>
      <c r="BA115" s="61"/>
      <c r="BB115" s="61"/>
      <c r="BD115" s="62"/>
    </row>
    <row r="116" spans="4:56" x14ac:dyDescent="0.3">
      <c r="D116" s="61"/>
      <c r="E116" s="61"/>
      <c r="G116" s="62"/>
      <c r="U116" s="59"/>
      <c r="V116" s="59"/>
      <c r="W116" s="59"/>
      <c r="Y116" s="62"/>
      <c r="AW116" s="61"/>
      <c r="AX116" s="61"/>
      <c r="AY116" s="61"/>
      <c r="AZ116" s="61"/>
      <c r="BA116" s="61"/>
      <c r="BB116" s="61"/>
      <c r="BD116" s="62"/>
    </row>
    <row r="117" spans="4:56" x14ac:dyDescent="0.3">
      <c r="D117" s="61"/>
      <c r="E117" s="61"/>
      <c r="G117" s="62"/>
      <c r="U117" s="59"/>
      <c r="V117" s="59"/>
      <c r="W117" s="59"/>
      <c r="Y117" s="62"/>
      <c r="AW117" s="61"/>
      <c r="AX117" s="61"/>
      <c r="AY117" s="61"/>
      <c r="AZ117" s="61"/>
      <c r="BA117" s="61"/>
      <c r="BB117" s="61"/>
      <c r="BD117" s="62"/>
    </row>
    <row r="118" spans="4:56" x14ac:dyDescent="0.3">
      <c r="G118" s="62"/>
    </row>
    <row r="119" spans="4:56" x14ac:dyDescent="0.3">
      <c r="G119" s="62"/>
    </row>
  </sheetData>
  <sortState xmlns:xlrd2="http://schemas.microsoft.com/office/spreadsheetml/2017/richdata2" ref="AU7:AV112">
    <sortCondition ref="AU7:AU112"/>
  </sortState>
  <mergeCells count="10">
    <mergeCell ref="AY4:AZ4"/>
    <mergeCell ref="B2:D2"/>
    <mergeCell ref="AG4:AI4"/>
    <mergeCell ref="AK4:AL4"/>
    <mergeCell ref="AU4:AW4"/>
    <mergeCell ref="S4:U4"/>
    <mergeCell ref="W4:X4"/>
    <mergeCell ref="B4:D4"/>
    <mergeCell ref="F4:G4"/>
    <mergeCell ref="I4:J4"/>
  </mergeCells>
  <pageMargins left="0.7" right="0.7" top="0.75" bottom="0.75" header="0.3" footer="0.3"/>
  <pageSetup paperSize="9" scale="45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4C80-8912-4558-8B0B-EF2D2E449F9B}">
  <dimension ref="B2:G6"/>
  <sheetViews>
    <sheetView showGridLines="0" workbookViewId="0">
      <selection activeCell="G13" sqref="G13"/>
    </sheetView>
  </sheetViews>
  <sheetFormatPr defaultRowHeight="14.4" x14ac:dyDescent="0.3"/>
  <cols>
    <col min="1" max="1" width="1.88671875" customWidth="1"/>
    <col min="3" max="3" width="14.5546875" bestFit="1" customWidth="1"/>
    <col min="4" max="4" width="9.44140625" bestFit="1" customWidth="1"/>
    <col min="5" max="5" width="13.6640625" bestFit="1" customWidth="1"/>
    <col min="6" max="6" width="10.109375" bestFit="1" customWidth="1"/>
  </cols>
  <sheetData>
    <row r="2" spans="2:7" x14ac:dyDescent="0.3">
      <c r="B2" s="79" t="s">
        <v>200</v>
      </c>
      <c r="C2" s="80" t="s">
        <v>201</v>
      </c>
      <c r="D2" s="80" t="s">
        <v>202</v>
      </c>
      <c r="E2" s="80" t="s">
        <v>203</v>
      </c>
      <c r="F2" s="80" t="s">
        <v>204</v>
      </c>
      <c r="G2" s="80" t="s">
        <v>205</v>
      </c>
    </row>
    <row r="3" spans="2:7" x14ac:dyDescent="0.3">
      <c r="B3" s="9">
        <v>1</v>
      </c>
      <c r="C3" s="9" t="s">
        <v>208</v>
      </c>
      <c r="D3" s="81">
        <v>2164.5</v>
      </c>
      <c r="E3" s="81">
        <v>508569</v>
      </c>
      <c r="F3" s="81">
        <v>1478</v>
      </c>
      <c r="G3" s="82">
        <v>0.03</v>
      </c>
    </row>
    <row r="4" spans="2:7" x14ac:dyDescent="0.3">
      <c r="B4" s="9">
        <v>2</v>
      </c>
      <c r="C4" s="9" t="s">
        <v>209</v>
      </c>
      <c r="D4" s="81">
        <v>290.2</v>
      </c>
      <c r="E4" s="81">
        <v>363605.09</v>
      </c>
      <c r="F4" s="81">
        <v>2399.06</v>
      </c>
      <c r="G4" s="82">
        <v>0.03</v>
      </c>
    </row>
    <row r="5" spans="2:7" x14ac:dyDescent="0.3">
      <c r="B5" s="9">
        <v>3</v>
      </c>
      <c r="C5" t="s">
        <v>210</v>
      </c>
      <c r="D5" s="81">
        <v>504.45</v>
      </c>
      <c r="E5" s="81">
        <v>170619.9</v>
      </c>
      <c r="F5" s="81">
        <v>2508.1799999999998</v>
      </c>
      <c r="G5" s="82">
        <v>0.13</v>
      </c>
    </row>
    <row r="6" spans="2:7" x14ac:dyDescent="0.3">
      <c r="B6" s="9">
        <v>4</v>
      </c>
      <c r="C6" t="s">
        <v>211</v>
      </c>
      <c r="D6" s="81">
        <v>5243.85</v>
      </c>
      <c r="E6" s="81">
        <v>126307.76</v>
      </c>
      <c r="F6" s="81">
        <v>1380.28</v>
      </c>
      <c r="G6" s="82">
        <v>0.27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D8CC-45F7-424A-BA14-000EE5B8B5D1}">
  <dimension ref="B2:G30"/>
  <sheetViews>
    <sheetView showGridLines="0" workbookViewId="0">
      <selection sqref="A1:G30"/>
    </sheetView>
  </sheetViews>
  <sheetFormatPr defaultRowHeight="14.4" x14ac:dyDescent="0.3"/>
  <cols>
    <col min="1" max="1" width="1.88671875" customWidth="1"/>
  </cols>
  <sheetData>
    <row r="2" spans="2:7" x14ac:dyDescent="0.3">
      <c r="B2" s="259" t="s">
        <v>403</v>
      </c>
      <c r="C2" s="259"/>
      <c r="D2" s="259"/>
      <c r="E2" s="259"/>
      <c r="F2" s="259"/>
      <c r="G2" s="259"/>
    </row>
    <row r="4" spans="2:7" x14ac:dyDescent="0.3">
      <c r="B4" s="178" t="s">
        <v>215</v>
      </c>
      <c r="C4" s="179" t="s">
        <v>216</v>
      </c>
    </row>
    <row r="5" spans="2:7" x14ac:dyDescent="0.3">
      <c r="B5" s="9">
        <v>2000</v>
      </c>
      <c r="C5" s="85">
        <v>-0.14649999999999999</v>
      </c>
      <c r="E5" t="s">
        <v>217</v>
      </c>
      <c r="G5" s="4">
        <f>AVERAGE(C5:C30)</f>
        <v>0.1514923076923077</v>
      </c>
    </row>
    <row r="6" spans="2:7" ht="16.2" x14ac:dyDescent="0.3">
      <c r="B6" s="9">
        <v>2001</v>
      </c>
      <c r="C6" s="85">
        <v>-0.1618</v>
      </c>
      <c r="E6" t="s">
        <v>218</v>
      </c>
      <c r="G6" s="36">
        <v>1.2999999999999999E-2</v>
      </c>
    </row>
    <row r="7" spans="2:7" x14ac:dyDescent="0.3">
      <c r="B7" s="9">
        <v>2002</v>
      </c>
      <c r="C7" s="85">
        <v>3.2500000000000001E-2</v>
      </c>
      <c r="E7" t="s">
        <v>219</v>
      </c>
      <c r="G7" s="4">
        <f>SUM(G5:G6)</f>
        <v>0.16449230769230772</v>
      </c>
    </row>
    <row r="8" spans="2:7" x14ac:dyDescent="0.3">
      <c r="B8" s="9">
        <v>2003</v>
      </c>
      <c r="C8" s="85">
        <v>0.71900000000000008</v>
      </c>
    </row>
    <row r="9" spans="2:7" x14ac:dyDescent="0.3">
      <c r="B9" s="9">
        <v>2004</v>
      </c>
      <c r="C9" s="85">
        <v>0.10679999999999999</v>
      </c>
      <c r="E9" t="s">
        <v>220</v>
      </c>
      <c r="G9" s="4">
        <f>GEOMEAN(1+C5:C30)-1</f>
        <v>0.10680000000000001</v>
      </c>
    </row>
    <row r="10" spans="2:7" ht="16.2" x14ac:dyDescent="0.3">
      <c r="B10" s="9">
        <v>2005</v>
      </c>
      <c r="C10" s="85">
        <v>0.36340000000000006</v>
      </c>
      <c r="E10" t="s">
        <v>218</v>
      </c>
      <c r="G10" s="36">
        <v>1.2999999999999999E-2</v>
      </c>
    </row>
    <row r="11" spans="2:7" x14ac:dyDescent="0.3">
      <c r="B11" s="9">
        <v>2006</v>
      </c>
      <c r="C11" s="85">
        <v>0.39829999999999999</v>
      </c>
      <c r="E11" t="s">
        <v>219</v>
      </c>
      <c r="G11" s="4">
        <f>SUM(G9:G10)</f>
        <v>0.1198</v>
      </c>
    </row>
    <row r="12" spans="2:7" x14ac:dyDescent="0.3">
      <c r="B12" s="9">
        <v>2007</v>
      </c>
      <c r="C12" s="85">
        <v>0.54770000000000008</v>
      </c>
    </row>
    <row r="13" spans="2:7" x14ac:dyDescent="0.3">
      <c r="B13" s="9">
        <v>2008</v>
      </c>
      <c r="C13" s="85">
        <v>-0.51790000000000003</v>
      </c>
    </row>
    <row r="14" spans="2:7" x14ac:dyDescent="0.3">
      <c r="B14" s="9">
        <v>2009</v>
      </c>
      <c r="C14" s="85">
        <v>0.75760000000000005</v>
      </c>
    </row>
    <row r="15" spans="2:7" x14ac:dyDescent="0.3">
      <c r="B15" s="9">
        <v>2010</v>
      </c>
      <c r="C15" s="85">
        <v>0.17949999999999999</v>
      </c>
    </row>
    <row r="16" spans="2:7" x14ac:dyDescent="0.3">
      <c r="B16" s="9">
        <v>2011</v>
      </c>
      <c r="C16" s="85">
        <v>-0.2462</v>
      </c>
    </row>
    <row r="17" spans="2:3" x14ac:dyDescent="0.3">
      <c r="B17" s="9">
        <v>2012</v>
      </c>
      <c r="C17" s="85">
        <v>0.27699999999999997</v>
      </c>
    </row>
    <row r="18" spans="2:3" x14ac:dyDescent="0.3">
      <c r="B18" s="9">
        <v>2013</v>
      </c>
      <c r="C18" s="85">
        <v>6.7599999999999993E-2</v>
      </c>
    </row>
    <row r="19" spans="2:3" x14ac:dyDescent="0.3">
      <c r="B19" s="9">
        <v>2014</v>
      </c>
      <c r="C19" s="85">
        <v>0.31390000000000001</v>
      </c>
    </row>
    <row r="20" spans="2:3" x14ac:dyDescent="0.3">
      <c r="B20" s="9">
        <v>2015</v>
      </c>
      <c r="C20" s="85">
        <v>-4.0599999999999997E-2</v>
      </c>
    </row>
    <row r="21" spans="2:3" x14ac:dyDescent="0.3">
      <c r="B21" s="9">
        <v>2016</v>
      </c>
      <c r="C21" s="85">
        <v>3.0099999999999998E-2</v>
      </c>
    </row>
    <row r="22" spans="2:3" x14ac:dyDescent="0.3">
      <c r="B22" s="9">
        <v>2017</v>
      </c>
      <c r="C22" s="85">
        <v>0.28649999999999998</v>
      </c>
    </row>
    <row r="23" spans="2:3" x14ac:dyDescent="0.3">
      <c r="B23" s="9">
        <v>2018</v>
      </c>
      <c r="C23" s="85">
        <v>3.15E-2</v>
      </c>
    </row>
    <row r="24" spans="2:3" x14ac:dyDescent="0.3">
      <c r="B24" s="9">
        <v>2019</v>
      </c>
      <c r="C24" s="85">
        <v>0.1202</v>
      </c>
    </row>
    <row r="25" spans="2:3" x14ac:dyDescent="0.3">
      <c r="B25" s="9">
        <v>2020</v>
      </c>
      <c r="C25" s="85">
        <v>0.14899999999999999</v>
      </c>
    </row>
    <row r="26" spans="2:3" x14ac:dyDescent="0.3">
      <c r="B26" s="9">
        <v>2021</v>
      </c>
      <c r="C26" s="85">
        <v>0.2412</v>
      </c>
    </row>
    <row r="27" spans="2:3" x14ac:dyDescent="0.3">
      <c r="B27" s="9">
        <v>2022</v>
      </c>
      <c r="C27" s="85">
        <v>4.3200000000000002E-2</v>
      </c>
    </row>
    <row r="28" spans="2:3" x14ac:dyDescent="0.3">
      <c r="B28" s="9">
        <v>2023</v>
      </c>
      <c r="C28" s="85">
        <v>0.19420000000000001</v>
      </c>
    </row>
    <row r="29" spans="2:3" x14ac:dyDescent="0.3">
      <c r="B29" s="9">
        <v>2024</v>
      </c>
      <c r="C29" s="85">
        <v>8.7499999999999994E-2</v>
      </c>
    </row>
    <row r="30" spans="2:3" x14ac:dyDescent="0.3">
      <c r="B30" s="9">
        <v>2025</v>
      </c>
      <c r="C30" s="85">
        <v>0.1051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8F48-C120-41B7-8453-6C3819C52CE3}">
  <sheetPr>
    <pageSetUpPr fitToPage="1"/>
  </sheetPr>
  <dimension ref="B3:N34"/>
  <sheetViews>
    <sheetView showGridLines="0" workbookViewId="0">
      <selection activeCell="I3" sqref="I3"/>
    </sheetView>
  </sheetViews>
  <sheetFormatPr defaultRowHeight="14.4" x14ac:dyDescent="0.3"/>
  <cols>
    <col min="1" max="1" width="1.88671875" customWidth="1"/>
    <col min="2" max="2" width="5.44140625" bestFit="1" customWidth="1"/>
    <col min="3" max="3" width="15.21875" bestFit="1" customWidth="1"/>
    <col min="4" max="4" width="7.6640625" bestFit="1" customWidth="1"/>
    <col min="5" max="5" width="15.6640625" bestFit="1" customWidth="1"/>
    <col min="6" max="6" width="10.44140625" bestFit="1" customWidth="1"/>
    <col min="7" max="8" width="13.6640625" bestFit="1" customWidth="1"/>
    <col min="9" max="9" width="13.6640625" customWidth="1"/>
    <col min="10" max="10" width="10" customWidth="1"/>
    <col min="11" max="11" width="12.6640625" bestFit="1" customWidth="1"/>
    <col min="12" max="12" width="12.6640625" customWidth="1"/>
    <col min="13" max="13" width="13.21875" bestFit="1" customWidth="1"/>
    <col min="14" max="14" width="13.6640625" bestFit="1" customWidth="1"/>
  </cols>
  <sheetData>
    <row r="3" spans="2:14" x14ac:dyDescent="0.3">
      <c r="B3" t="s">
        <v>200</v>
      </c>
      <c r="C3" t="s">
        <v>201</v>
      </c>
      <c r="D3" t="s">
        <v>202</v>
      </c>
      <c r="E3" t="s">
        <v>349</v>
      </c>
      <c r="F3" t="s">
        <v>374</v>
      </c>
      <c r="G3" t="s">
        <v>204</v>
      </c>
      <c r="H3" t="s">
        <v>350</v>
      </c>
      <c r="I3" t="s">
        <v>340</v>
      </c>
      <c r="J3" t="s">
        <v>375</v>
      </c>
      <c r="K3" t="s">
        <v>351</v>
      </c>
      <c r="L3" t="s">
        <v>65</v>
      </c>
      <c r="M3" t="s">
        <v>352</v>
      </c>
    </row>
    <row r="4" spans="2:14" x14ac:dyDescent="0.3">
      <c r="B4">
        <v>1</v>
      </c>
      <c r="C4" t="s">
        <v>208</v>
      </c>
      <c r="D4" s="27">
        <v>2157.8000000000002</v>
      </c>
      <c r="E4" s="27">
        <v>234.96</v>
      </c>
      <c r="F4" s="27">
        <f>E4*D4</f>
        <v>506996.68800000008</v>
      </c>
      <c r="G4" s="27">
        <v>1478</v>
      </c>
      <c r="H4" s="27">
        <v>3248</v>
      </c>
      <c r="I4" s="27">
        <f>G4-H4</f>
        <v>-1770</v>
      </c>
      <c r="J4" s="27">
        <f>F4+G4-H4</f>
        <v>505226.68800000008</v>
      </c>
      <c r="K4" s="27">
        <v>64468</v>
      </c>
      <c r="L4" s="195">
        <v>15472.32</v>
      </c>
      <c r="M4" s="27">
        <v>15059</v>
      </c>
      <c r="N4" s="27"/>
    </row>
    <row r="5" spans="2:14" x14ac:dyDescent="0.3">
      <c r="B5">
        <v>2</v>
      </c>
      <c r="C5" t="s">
        <v>209</v>
      </c>
      <c r="D5" s="27">
        <v>290.35000000000002</v>
      </c>
      <c r="E5" s="27">
        <v>1252.95</v>
      </c>
      <c r="F5" s="27">
        <f t="shared" ref="F5:F34" si="0">E5*D5</f>
        <v>363794.03250000003</v>
      </c>
      <c r="G5" s="27">
        <v>2399.06</v>
      </c>
      <c r="H5" s="27">
        <v>3008.79</v>
      </c>
      <c r="I5" s="27">
        <f t="shared" ref="I5:I13" si="1">G5-H5</f>
        <v>-609.73</v>
      </c>
      <c r="J5" s="27">
        <f t="shared" ref="J5:J34" si="2">F5+G5-H5</f>
        <v>363184.30250000005</v>
      </c>
      <c r="K5" s="27">
        <v>78868.399999999994</v>
      </c>
      <c r="L5" s="195">
        <v>29969.991999999998</v>
      </c>
      <c r="M5" s="27">
        <v>21018.15</v>
      </c>
      <c r="N5" s="27"/>
    </row>
    <row r="6" spans="2:14" x14ac:dyDescent="0.3">
      <c r="B6">
        <v>3</v>
      </c>
      <c r="C6" t="s">
        <v>353</v>
      </c>
      <c r="D6" s="27">
        <v>1382.6</v>
      </c>
      <c r="E6" s="27">
        <v>192.83</v>
      </c>
      <c r="F6" s="27">
        <f t="shared" si="0"/>
        <v>266606.75799999997</v>
      </c>
      <c r="G6" s="27">
        <v>444.16</v>
      </c>
      <c r="H6" s="27">
        <v>1340.87</v>
      </c>
      <c r="I6" s="27">
        <f t="shared" si="1"/>
        <v>-896.70999999999981</v>
      </c>
      <c r="J6" s="27">
        <f t="shared" si="2"/>
        <v>265710.04799999995</v>
      </c>
      <c r="K6" s="27">
        <v>23154.6</v>
      </c>
      <c r="L6" s="195">
        <v>5325.558</v>
      </c>
      <c r="M6" s="27">
        <v>3544.6</v>
      </c>
      <c r="N6" s="27"/>
    </row>
    <row r="7" spans="2:14" x14ac:dyDescent="0.3">
      <c r="B7">
        <v>4</v>
      </c>
      <c r="C7" t="s">
        <v>210</v>
      </c>
      <c r="D7" s="27">
        <v>506.7</v>
      </c>
      <c r="E7" s="27">
        <v>338.23</v>
      </c>
      <c r="F7" s="27">
        <f t="shared" si="0"/>
        <v>171381.141</v>
      </c>
      <c r="G7" s="27">
        <v>2508.1799999999998</v>
      </c>
      <c r="H7" s="27">
        <v>1998.49</v>
      </c>
      <c r="I7" s="27">
        <f t="shared" si="1"/>
        <v>509.68999999999983</v>
      </c>
      <c r="J7" s="27">
        <f t="shared" si="2"/>
        <v>171890.83100000001</v>
      </c>
      <c r="K7" s="27">
        <v>22692.63</v>
      </c>
      <c r="L7" s="195">
        <v>5673.1575000000003</v>
      </c>
      <c r="M7" s="27">
        <v>3209.4</v>
      </c>
      <c r="N7" s="27"/>
    </row>
    <row r="8" spans="2:14" x14ac:dyDescent="0.3">
      <c r="B8">
        <v>5</v>
      </c>
      <c r="C8" t="s">
        <v>211</v>
      </c>
      <c r="D8" s="27">
        <v>5262.5</v>
      </c>
      <c r="E8" s="27">
        <v>24.09</v>
      </c>
      <c r="F8" s="27">
        <f t="shared" si="0"/>
        <v>126773.625</v>
      </c>
      <c r="G8" s="27">
        <v>1380.28</v>
      </c>
      <c r="H8" s="27">
        <v>352.44</v>
      </c>
      <c r="I8" s="27">
        <f t="shared" si="1"/>
        <v>1027.8399999999999</v>
      </c>
      <c r="J8" s="27">
        <f t="shared" si="2"/>
        <v>127801.465</v>
      </c>
      <c r="K8" s="27">
        <v>19151.59</v>
      </c>
      <c r="L8" s="195">
        <v>3830.3180000000002</v>
      </c>
      <c r="M8" s="27">
        <v>2537.0100000000002</v>
      </c>
      <c r="N8" s="27"/>
    </row>
    <row r="9" spans="2:14" x14ac:dyDescent="0.3">
      <c r="B9">
        <v>6</v>
      </c>
      <c r="C9" t="s">
        <v>354</v>
      </c>
      <c r="D9" s="27">
        <v>1098.0999999999999</v>
      </c>
      <c r="E9" s="27">
        <v>98.96</v>
      </c>
      <c r="F9" s="27">
        <f t="shared" si="0"/>
        <v>108667.97599999998</v>
      </c>
      <c r="G9" s="27">
        <v>2819.51</v>
      </c>
      <c r="H9" s="27">
        <v>3420.49</v>
      </c>
      <c r="I9" s="27">
        <f t="shared" si="1"/>
        <v>-600.97999999999956</v>
      </c>
      <c r="J9" s="27">
        <f t="shared" si="2"/>
        <v>108066.99599999997</v>
      </c>
      <c r="K9" s="27">
        <v>20290.43</v>
      </c>
      <c r="L9" s="195">
        <v>2840.6602000000003</v>
      </c>
      <c r="M9" s="27">
        <v>1546.8</v>
      </c>
      <c r="N9" s="27"/>
    </row>
    <row r="10" spans="2:14" x14ac:dyDescent="0.3">
      <c r="B10">
        <v>7</v>
      </c>
      <c r="C10" t="s">
        <v>355</v>
      </c>
      <c r="D10" s="27">
        <v>819.45</v>
      </c>
      <c r="E10" s="27">
        <v>129.84</v>
      </c>
      <c r="F10" s="27">
        <f t="shared" si="0"/>
        <v>106397.38800000001</v>
      </c>
      <c r="G10" s="27">
        <v>557</v>
      </c>
      <c r="H10" s="27">
        <v>493</v>
      </c>
      <c r="I10" s="27">
        <f t="shared" si="1"/>
        <v>64</v>
      </c>
      <c r="J10" s="27">
        <f t="shared" si="2"/>
        <v>106461.38800000001</v>
      </c>
      <c r="K10" s="27">
        <v>13611</v>
      </c>
      <c r="L10" s="195">
        <v>2586.09</v>
      </c>
      <c r="M10" s="27">
        <v>1813</v>
      </c>
      <c r="N10" s="27"/>
    </row>
    <row r="11" spans="2:14" x14ac:dyDescent="0.3">
      <c r="B11">
        <v>8</v>
      </c>
      <c r="C11" t="s">
        <v>356</v>
      </c>
      <c r="D11" s="27">
        <v>1020.5</v>
      </c>
      <c r="E11" s="27">
        <v>102.32</v>
      </c>
      <c r="F11" s="27">
        <f t="shared" si="0"/>
        <v>104417.56</v>
      </c>
      <c r="G11" s="27">
        <v>4415.8100000000004</v>
      </c>
      <c r="H11" s="27">
        <v>1005.41</v>
      </c>
      <c r="I11" s="27">
        <f t="shared" si="1"/>
        <v>3410.4000000000005</v>
      </c>
      <c r="J11" s="27">
        <f t="shared" si="2"/>
        <v>107827.95999999999</v>
      </c>
      <c r="K11" s="27">
        <v>15177.9</v>
      </c>
      <c r="L11" s="195">
        <v>3490.9169999999999</v>
      </c>
      <c r="M11" s="27">
        <v>1861.47</v>
      </c>
      <c r="N11" s="27"/>
    </row>
    <row r="12" spans="2:14" x14ac:dyDescent="0.3">
      <c r="B12">
        <v>9</v>
      </c>
      <c r="C12" t="s">
        <v>357</v>
      </c>
      <c r="D12" s="27">
        <v>1359.1</v>
      </c>
      <c r="E12" s="27">
        <v>72.739999999999995</v>
      </c>
      <c r="F12" s="27">
        <f t="shared" si="0"/>
        <v>98860.933999999979</v>
      </c>
      <c r="G12" s="27">
        <v>413</v>
      </c>
      <c r="H12" s="27">
        <v>1977</v>
      </c>
      <c r="I12" s="27">
        <f t="shared" si="1"/>
        <v>-1564</v>
      </c>
      <c r="J12" s="27">
        <f t="shared" si="2"/>
        <v>97296.933999999979</v>
      </c>
      <c r="K12" s="27">
        <v>12467</v>
      </c>
      <c r="L12" s="195">
        <v>2742.7400000000002</v>
      </c>
      <c r="M12" s="27">
        <v>1838</v>
      </c>
      <c r="N12" s="27"/>
    </row>
    <row r="13" spans="2:14" x14ac:dyDescent="0.3">
      <c r="B13">
        <v>10</v>
      </c>
      <c r="C13" t="s">
        <v>358</v>
      </c>
      <c r="D13" s="27">
        <v>424.1</v>
      </c>
      <c r="E13" s="27">
        <v>177.4</v>
      </c>
      <c r="F13" s="27">
        <f t="shared" si="0"/>
        <v>75235.340000000011</v>
      </c>
      <c r="G13" s="27">
        <v>1287.32</v>
      </c>
      <c r="H13" s="27">
        <v>562.07000000000005</v>
      </c>
      <c r="I13" s="27">
        <f t="shared" si="1"/>
        <v>725.24999999999989</v>
      </c>
      <c r="J13" s="27">
        <f t="shared" si="2"/>
        <v>75960.590000000011</v>
      </c>
      <c r="K13" s="27">
        <v>13192.57</v>
      </c>
      <c r="L13" s="195">
        <v>3034.2910999999999</v>
      </c>
      <c r="M13" s="27">
        <v>1868.69</v>
      </c>
      <c r="N13" s="27"/>
    </row>
    <row r="14" spans="2:14" x14ac:dyDescent="0.3">
      <c r="D14" s="27"/>
      <c r="E14" s="27"/>
      <c r="F14" s="27"/>
      <c r="G14" s="27"/>
      <c r="H14" s="27"/>
      <c r="I14" s="27"/>
      <c r="J14" s="27"/>
      <c r="K14" s="27"/>
      <c r="L14" s="195"/>
      <c r="M14" s="27"/>
      <c r="N14" s="27"/>
    </row>
    <row r="15" spans="2:14" x14ac:dyDescent="0.3">
      <c r="D15" s="27"/>
      <c r="E15" s="27"/>
      <c r="F15" s="27"/>
      <c r="G15" s="27"/>
      <c r="H15" s="27"/>
      <c r="I15" s="27"/>
      <c r="J15" s="27"/>
      <c r="K15" s="27"/>
      <c r="L15" s="195"/>
      <c r="M15" s="27"/>
      <c r="N15" s="27"/>
    </row>
    <row r="16" spans="2:14" x14ac:dyDescent="0.3">
      <c r="D16" s="27"/>
      <c r="E16" s="27"/>
      <c r="F16" s="27"/>
      <c r="G16" s="27"/>
      <c r="H16" s="27"/>
      <c r="I16" s="27"/>
      <c r="J16" s="27"/>
      <c r="K16" s="27"/>
      <c r="L16" s="195"/>
      <c r="M16" s="27"/>
      <c r="N16" s="27"/>
    </row>
    <row r="17" spans="2:14" x14ac:dyDescent="0.3">
      <c r="D17" s="27"/>
      <c r="E17" s="27"/>
      <c r="F17" s="27"/>
      <c r="G17" s="27"/>
      <c r="H17" s="27"/>
      <c r="I17" s="27"/>
      <c r="J17" s="27"/>
      <c r="K17" s="27"/>
      <c r="L17" s="195"/>
      <c r="M17" s="27"/>
      <c r="N17" s="27"/>
    </row>
    <row r="18" spans="2:14" x14ac:dyDescent="0.3">
      <c r="D18" s="27"/>
      <c r="E18" s="27"/>
      <c r="F18" s="27"/>
      <c r="G18" s="27"/>
      <c r="H18" s="27"/>
      <c r="I18" s="27"/>
      <c r="J18" s="27"/>
      <c r="K18" s="27"/>
      <c r="L18" s="195"/>
      <c r="M18" s="27"/>
      <c r="N18" s="27"/>
    </row>
    <row r="19" spans="2:14" x14ac:dyDescent="0.3">
      <c r="D19" s="27"/>
      <c r="E19" s="27"/>
      <c r="F19" s="27"/>
      <c r="G19" s="27"/>
      <c r="H19" s="27"/>
      <c r="I19" s="27"/>
      <c r="J19" s="27"/>
      <c r="K19" s="27"/>
      <c r="L19" s="195"/>
      <c r="M19" s="27"/>
      <c r="N19" s="27"/>
    </row>
    <row r="20" spans="2:14" x14ac:dyDescent="0.3">
      <c r="B20">
        <v>11</v>
      </c>
      <c r="C20" t="s">
        <v>359</v>
      </c>
      <c r="D20" s="27">
        <v>1965.3</v>
      </c>
      <c r="E20" s="27">
        <v>27.2</v>
      </c>
      <c r="F20" s="27">
        <f t="shared" si="0"/>
        <v>53456.159999999996</v>
      </c>
      <c r="G20" s="27">
        <v>47.41</v>
      </c>
      <c r="H20" s="27">
        <v>1468.82</v>
      </c>
      <c r="I20" s="27"/>
      <c r="J20" s="27">
        <f t="shared" si="2"/>
        <v>52034.75</v>
      </c>
      <c r="K20" s="27">
        <v>6035.04</v>
      </c>
      <c r="L20" s="195">
        <v>1931.2128</v>
      </c>
      <c r="M20" s="27">
        <v>1325.31</v>
      </c>
      <c r="N20" s="27"/>
    </row>
    <row r="21" spans="2:14" x14ac:dyDescent="0.3">
      <c r="B21">
        <v>12</v>
      </c>
      <c r="C21" t="s">
        <v>360</v>
      </c>
      <c r="D21" s="27">
        <v>3757.7</v>
      </c>
      <c r="E21" s="27">
        <v>13.39</v>
      </c>
      <c r="F21" s="27">
        <f t="shared" si="0"/>
        <v>50315.603000000003</v>
      </c>
      <c r="G21" s="27">
        <v>498.44</v>
      </c>
      <c r="H21" s="27">
        <v>88.33</v>
      </c>
      <c r="I21" s="27"/>
      <c r="J21" s="27">
        <f t="shared" si="2"/>
        <v>50725.713000000003</v>
      </c>
      <c r="K21" s="27">
        <v>6050.43</v>
      </c>
      <c r="L21" s="195">
        <v>1028.5731000000001</v>
      </c>
      <c r="M21" s="27">
        <v>604.48</v>
      </c>
      <c r="N21" s="27"/>
    </row>
    <row r="22" spans="2:14" x14ac:dyDescent="0.3">
      <c r="B22">
        <v>13</v>
      </c>
      <c r="C22" t="s">
        <v>361</v>
      </c>
      <c r="D22" s="27">
        <v>414.2</v>
      </c>
      <c r="E22" s="27">
        <v>108.81</v>
      </c>
      <c r="F22" s="27">
        <f t="shared" si="0"/>
        <v>45069.101999999999</v>
      </c>
      <c r="G22" s="27">
        <v>2788.83</v>
      </c>
      <c r="H22" s="27">
        <v>746.36</v>
      </c>
      <c r="I22" s="27"/>
      <c r="J22" s="27">
        <f t="shared" si="2"/>
        <v>47111.572</v>
      </c>
      <c r="K22" s="27">
        <v>40169.58</v>
      </c>
      <c r="L22" s="195">
        <v>2008.4790000000003</v>
      </c>
      <c r="M22" s="27">
        <v>1814.87</v>
      </c>
      <c r="N22" s="27"/>
    </row>
    <row r="23" spans="2:14" x14ac:dyDescent="0.3">
      <c r="B23">
        <v>14</v>
      </c>
      <c r="C23" t="s">
        <v>362</v>
      </c>
      <c r="D23" s="27">
        <v>1336.5</v>
      </c>
      <c r="E23" s="27">
        <v>26.44</v>
      </c>
      <c r="F23" s="27">
        <f t="shared" si="0"/>
        <v>35337.060000000005</v>
      </c>
      <c r="G23" s="27">
        <v>1316.53</v>
      </c>
      <c r="H23" s="27">
        <v>571.55999999999995</v>
      </c>
      <c r="I23" s="27"/>
      <c r="J23" s="27">
        <f t="shared" si="2"/>
        <v>36082.030000000006</v>
      </c>
      <c r="K23" s="27">
        <v>9239.94</v>
      </c>
      <c r="L23" s="195">
        <v>831.59460000000001</v>
      </c>
      <c r="M23" s="27">
        <v>413.39</v>
      </c>
      <c r="N23" s="27"/>
    </row>
    <row r="24" spans="2:14" x14ac:dyDescent="0.3">
      <c r="B24">
        <v>15</v>
      </c>
      <c r="C24" t="s">
        <v>363</v>
      </c>
      <c r="D24" s="27">
        <v>2248.4</v>
      </c>
      <c r="E24" s="27">
        <v>15.6</v>
      </c>
      <c r="F24" s="27">
        <f t="shared" si="0"/>
        <v>35075.040000000001</v>
      </c>
      <c r="G24" s="27">
        <v>233.68</v>
      </c>
      <c r="H24" s="27">
        <v>32.61</v>
      </c>
      <c r="I24" s="27"/>
      <c r="J24" s="27">
        <f t="shared" si="2"/>
        <v>35276.11</v>
      </c>
      <c r="K24" s="27">
        <v>6391.11</v>
      </c>
      <c r="L24" s="195">
        <v>2045.1551999999999</v>
      </c>
      <c r="M24" s="27">
        <v>1526.02</v>
      </c>
      <c r="N24" s="27"/>
    </row>
    <row r="25" spans="2:14" x14ac:dyDescent="0.3">
      <c r="B25">
        <v>16</v>
      </c>
      <c r="C25" t="s">
        <v>364</v>
      </c>
      <c r="D25" s="27">
        <v>8979</v>
      </c>
      <c r="E25" s="27">
        <v>3.25</v>
      </c>
      <c r="F25" s="27">
        <f t="shared" si="0"/>
        <v>29181.75</v>
      </c>
      <c r="G25" s="27">
        <v>0.87</v>
      </c>
      <c r="H25" s="27">
        <v>567.94000000000005</v>
      </c>
      <c r="I25" s="27"/>
      <c r="J25" s="27">
        <f t="shared" si="2"/>
        <v>28614.68</v>
      </c>
      <c r="K25" s="27">
        <v>4290.42</v>
      </c>
      <c r="L25" s="195">
        <v>1201.3176000000001</v>
      </c>
      <c r="M25" s="27">
        <v>856.5</v>
      </c>
      <c r="N25" s="27"/>
    </row>
    <row r="26" spans="2:14" x14ac:dyDescent="0.3">
      <c r="B26">
        <v>17</v>
      </c>
      <c r="C26" t="s">
        <v>365</v>
      </c>
      <c r="D26" s="27">
        <v>7793</v>
      </c>
      <c r="E26" s="27">
        <v>3.26</v>
      </c>
      <c r="F26" s="27">
        <f t="shared" si="0"/>
        <v>25405.179999999997</v>
      </c>
      <c r="G26" s="27">
        <v>0.02</v>
      </c>
      <c r="H26" s="27">
        <v>269.26</v>
      </c>
      <c r="I26" s="27"/>
      <c r="J26" s="27">
        <f t="shared" si="2"/>
        <v>25135.94</v>
      </c>
      <c r="K26" s="27">
        <v>3099.53</v>
      </c>
      <c r="L26" s="195">
        <v>960.85430000000008</v>
      </c>
      <c r="M26" s="27">
        <v>654.30999999999995</v>
      </c>
      <c r="N26" s="27"/>
    </row>
    <row r="27" spans="2:14" x14ac:dyDescent="0.3">
      <c r="B27">
        <v>18</v>
      </c>
      <c r="C27" t="s">
        <v>366</v>
      </c>
      <c r="D27" s="27">
        <v>179.48</v>
      </c>
      <c r="E27" s="27">
        <v>134.47</v>
      </c>
      <c r="F27" s="27">
        <f t="shared" si="0"/>
        <v>24134.675599999999</v>
      </c>
      <c r="G27" s="27">
        <v>56.38</v>
      </c>
      <c r="H27" s="27">
        <v>186.45</v>
      </c>
      <c r="I27" s="27"/>
      <c r="J27" s="27">
        <f t="shared" si="2"/>
        <v>24004.605599999999</v>
      </c>
      <c r="K27" s="27">
        <v>391.4</v>
      </c>
      <c r="L27" s="195">
        <v>148.732</v>
      </c>
      <c r="M27" s="27">
        <v>108.26</v>
      </c>
      <c r="N27" s="27"/>
    </row>
    <row r="28" spans="2:14" x14ac:dyDescent="0.3">
      <c r="B28">
        <v>19</v>
      </c>
      <c r="C28" t="s">
        <v>367</v>
      </c>
      <c r="D28" s="27">
        <v>183.09</v>
      </c>
      <c r="E28" s="27">
        <v>129.97</v>
      </c>
      <c r="F28" s="27">
        <f t="shared" si="0"/>
        <v>23796.207300000002</v>
      </c>
      <c r="G28" s="27">
        <v>1109.27</v>
      </c>
      <c r="H28" s="27">
        <v>1719.31</v>
      </c>
      <c r="I28" s="27"/>
      <c r="J28" s="27">
        <f t="shared" si="2"/>
        <v>23186.167300000001</v>
      </c>
      <c r="K28" s="27">
        <v>74730.67</v>
      </c>
      <c r="L28" s="195">
        <v>2241.9200999999998</v>
      </c>
      <c r="M28" s="27">
        <v>1044.8900000000001</v>
      </c>
      <c r="N28" s="27"/>
    </row>
    <row r="29" spans="2:14" x14ac:dyDescent="0.3">
      <c r="B29">
        <v>20</v>
      </c>
      <c r="C29" t="s">
        <v>368</v>
      </c>
      <c r="D29" s="27">
        <v>913.35</v>
      </c>
      <c r="E29" s="27">
        <v>22.27</v>
      </c>
      <c r="F29" s="27">
        <f t="shared" si="0"/>
        <v>20340.304499999998</v>
      </c>
      <c r="G29" s="27">
        <v>1838.25</v>
      </c>
      <c r="H29" s="27">
        <v>51.19</v>
      </c>
      <c r="I29" s="27"/>
      <c r="J29" s="27">
        <f t="shared" si="2"/>
        <v>22127.3645</v>
      </c>
      <c r="K29" s="27">
        <v>9959.2199999999993</v>
      </c>
      <c r="L29" s="195">
        <v>1195.1063999999999</v>
      </c>
      <c r="M29" s="27">
        <v>356.2</v>
      </c>
      <c r="N29" s="27"/>
    </row>
    <row r="30" spans="2:14" x14ac:dyDescent="0.3">
      <c r="B30">
        <v>21</v>
      </c>
      <c r="C30" t="s">
        <v>369</v>
      </c>
      <c r="D30" s="27">
        <v>403.9</v>
      </c>
      <c r="E30" s="27">
        <v>43.65</v>
      </c>
      <c r="F30" s="27">
        <f t="shared" si="0"/>
        <v>17630.234999999997</v>
      </c>
      <c r="G30" s="27">
        <v>161.91999999999999</v>
      </c>
      <c r="H30" s="27">
        <v>409.84</v>
      </c>
      <c r="I30" s="27"/>
      <c r="J30" s="27">
        <f t="shared" si="2"/>
        <v>17382.314999999995</v>
      </c>
      <c r="K30" s="27">
        <v>3779.51</v>
      </c>
      <c r="L30" s="195">
        <v>1058.2628000000002</v>
      </c>
      <c r="M30" s="27">
        <v>775.26</v>
      </c>
      <c r="N30" s="27"/>
    </row>
    <row r="31" spans="2:14" x14ac:dyDescent="0.3">
      <c r="B31">
        <v>22</v>
      </c>
      <c r="C31" t="s">
        <v>370</v>
      </c>
      <c r="D31" s="27">
        <v>629.04999999999995</v>
      </c>
      <c r="E31" s="27">
        <v>27.97</v>
      </c>
      <c r="F31" s="27">
        <f t="shared" si="0"/>
        <v>17594.528499999997</v>
      </c>
      <c r="G31" s="27">
        <v>1150.53</v>
      </c>
      <c r="H31" s="27">
        <v>165.18</v>
      </c>
      <c r="I31" s="27"/>
      <c r="J31" s="27">
        <f t="shared" si="2"/>
        <v>18579.878499999995</v>
      </c>
      <c r="K31" s="27">
        <v>3922.78</v>
      </c>
      <c r="L31" s="195">
        <v>549.18920000000003</v>
      </c>
      <c r="M31" s="27">
        <v>220.12</v>
      </c>
      <c r="N31" s="27"/>
    </row>
    <row r="32" spans="2:14" x14ac:dyDescent="0.3">
      <c r="B32">
        <v>23</v>
      </c>
      <c r="C32" t="s">
        <v>371</v>
      </c>
      <c r="D32" s="27">
        <v>525.54999999999995</v>
      </c>
      <c r="E32" s="27">
        <v>31.82</v>
      </c>
      <c r="F32" s="27">
        <f t="shared" si="0"/>
        <v>16723.001</v>
      </c>
      <c r="G32" s="27">
        <v>3202.8</v>
      </c>
      <c r="H32" s="27">
        <v>111.1</v>
      </c>
      <c r="I32" s="27"/>
      <c r="J32" s="27">
        <f t="shared" si="2"/>
        <v>19814.701000000001</v>
      </c>
      <c r="K32" s="27">
        <v>3961</v>
      </c>
      <c r="L32" s="195">
        <v>514.93000000000006</v>
      </c>
      <c r="M32" s="27">
        <v>197.2</v>
      </c>
      <c r="N32" s="27"/>
    </row>
    <row r="33" spans="2:14" x14ac:dyDescent="0.3">
      <c r="B33">
        <v>24</v>
      </c>
      <c r="C33" t="s">
        <v>372</v>
      </c>
      <c r="D33" s="27">
        <v>650.95000000000005</v>
      </c>
      <c r="E33" s="27">
        <v>25.07</v>
      </c>
      <c r="F33" s="27">
        <f t="shared" si="0"/>
        <v>16319.316500000001</v>
      </c>
      <c r="G33" s="27">
        <v>299.33</v>
      </c>
      <c r="H33" s="27">
        <v>316.49</v>
      </c>
      <c r="I33" s="27"/>
      <c r="J33" s="27">
        <f t="shared" si="2"/>
        <v>16302.156500000003</v>
      </c>
      <c r="K33" s="27">
        <v>2993.86</v>
      </c>
      <c r="L33" s="195">
        <v>449.07900000000001</v>
      </c>
      <c r="M33" s="27">
        <v>254.41</v>
      </c>
      <c r="N33" s="27"/>
    </row>
    <row r="34" spans="2:14" x14ac:dyDescent="0.3">
      <c r="B34">
        <v>25</v>
      </c>
      <c r="C34" t="s">
        <v>373</v>
      </c>
      <c r="D34" s="27">
        <v>1167.0999999999999</v>
      </c>
      <c r="E34" s="27">
        <v>13.35</v>
      </c>
      <c r="F34" s="27">
        <f t="shared" si="0"/>
        <v>15580.784999999998</v>
      </c>
      <c r="G34" s="27">
        <v>1324.36</v>
      </c>
      <c r="H34" s="27">
        <v>217.55</v>
      </c>
      <c r="I34" s="27"/>
      <c r="J34" s="27">
        <f t="shared" si="2"/>
        <v>16687.594999999998</v>
      </c>
      <c r="K34" s="27">
        <v>4457.37</v>
      </c>
      <c r="L34" s="195">
        <v>757.75290000000007</v>
      </c>
      <c r="M34" s="27">
        <v>388.1</v>
      </c>
      <c r="N34" s="27"/>
    </row>
  </sheetData>
  <pageMargins left="0.7" right="0.7" top="0.75" bottom="0.75" header="0.3" footer="0.3"/>
  <pageSetup paperSize="9" scale="5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F499-6511-4760-9809-E467AB631DA6}">
  <sheetPr>
    <tabColor rgb="FF002060"/>
  </sheetPr>
  <dimension ref="A1"/>
  <sheetViews>
    <sheetView showGridLines="0" workbookViewId="0"/>
  </sheetViews>
  <sheetFormatPr defaultRowHeight="14.4" x14ac:dyDescent="0.3"/>
  <cols>
    <col min="1" max="1" width="1.88671875" customWidth="1"/>
  </cols>
  <sheetData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0936-A498-478B-B95B-A8076BA3816D}">
  <sheetPr>
    <pageSetUpPr fitToPage="1"/>
  </sheetPr>
  <dimension ref="A2:L113"/>
  <sheetViews>
    <sheetView showGridLines="0" workbookViewId="0">
      <pane ySplit="3" topLeftCell="A110" activePane="bottomLeft" state="frozen"/>
      <selection pane="bottomLeft" activeCell="A53" sqref="A53:K113"/>
    </sheetView>
  </sheetViews>
  <sheetFormatPr defaultRowHeight="14.4" x14ac:dyDescent="0.3"/>
  <cols>
    <col min="1" max="1" width="1.88671875" customWidth="1"/>
    <col min="2" max="2" width="30.77734375" customWidth="1"/>
    <col min="3" max="12" width="11.77734375" customWidth="1"/>
  </cols>
  <sheetData>
    <row r="2" spans="1:12" x14ac:dyDescent="0.3">
      <c r="B2" s="271" t="str">
        <f>"Historical Financial Statement - "&amp;'Data Sheet'!B1</f>
        <v>Historical Financial Statement - HINDUSTAN UNILEVER LTD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</row>
    <row r="3" spans="1:12" x14ac:dyDescent="0.3">
      <c r="B3" s="12" t="s">
        <v>55</v>
      </c>
      <c r="C3" s="13">
        <f>'Data Sheet'!C16</f>
        <v>43190</v>
      </c>
      <c r="D3" s="13">
        <f>'Data Sheet'!D16</f>
        <v>43555</v>
      </c>
      <c r="E3" s="13">
        <f>'Data Sheet'!E16</f>
        <v>43921</v>
      </c>
      <c r="F3" s="13">
        <f>'Data Sheet'!F16</f>
        <v>44286</v>
      </c>
      <c r="G3" s="13">
        <f>'Data Sheet'!G16</f>
        <v>44651</v>
      </c>
      <c r="H3" s="13">
        <f>'Data Sheet'!H16</f>
        <v>45016</v>
      </c>
      <c r="I3" s="13">
        <f>'Data Sheet'!I16</f>
        <v>45382</v>
      </c>
      <c r="J3" s="13">
        <f>'Data Sheet'!J16</f>
        <v>45747</v>
      </c>
      <c r="K3" s="13">
        <f>'Data Sheet'!K16</f>
        <v>46112</v>
      </c>
      <c r="L3" s="15" t="s">
        <v>56</v>
      </c>
    </row>
    <row r="4" spans="1:12" x14ac:dyDescent="0.3">
      <c r="B4" s="22"/>
      <c r="C4" s="23"/>
      <c r="D4" s="23"/>
      <c r="E4" s="23"/>
      <c r="F4" s="23"/>
      <c r="G4" s="23"/>
      <c r="H4" s="23"/>
      <c r="I4" s="23"/>
      <c r="J4" s="23"/>
      <c r="K4" s="23"/>
      <c r="L4" s="24"/>
    </row>
    <row r="5" spans="1:12" x14ac:dyDescent="0.3">
      <c r="A5" t="s">
        <v>58</v>
      </c>
      <c r="B5" s="20" t="s">
        <v>57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">
      <c r="B6" t="s">
        <v>1</v>
      </c>
      <c r="C6" s="14">
        <f>IFERROR('Data Sheet'!C17,0)</f>
        <v>35545</v>
      </c>
      <c r="D6" s="14">
        <f>IFERROR('Data Sheet'!D17,0)</f>
        <v>39310</v>
      </c>
      <c r="E6" s="14">
        <f>IFERROR('Data Sheet'!E17,0)</f>
        <v>39783</v>
      </c>
      <c r="F6" s="14">
        <f>IFERROR('Data Sheet'!F17,0)</f>
        <v>47028</v>
      </c>
      <c r="G6" s="14">
        <f>IFERROR('Data Sheet'!G17,0)</f>
        <v>52446</v>
      </c>
      <c r="H6" s="14">
        <f>IFERROR('Data Sheet'!H17,0)</f>
        <v>60580</v>
      </c>
      <c r="I6" s="14">
        <f>IFERROR('Data Sheet'!I17,0)</f>
        <v>61896</v>
      </c>
      <c r="J6" s="14">
        <f>IFERROR('Data Sheet'!J17,0)</f>
        <v>61328</v>
      </c>
      <c r="K6" s="14">
        <f>IFERROR('Data Sheet'!K17,0)</f>
        <v>64468</v>
      </c>
      <c r="L6" s="14">
        <f>IFERROR(SUM('Data Sheet'!H42:K42),0)</f>
        <v>65225</v>
      </c>
    </row>
    <row r="7" spans="1:12" x14ac:dyDescent="0.3">
      <c r="B7" s="17" t="s">
        <v>10</v>
      </c>
      <c r="C7" s="18" t="s">
        <v>59</v>
      </c>
      <c r="D7" s="19">
        <f>D6/C6-1</f>
        <v>0.1059220706147137</v>
      </c>
      <c r="E7" s="19">
        <f t="shared" ref="E7:L7" si="0">E6/D6-1</f>
        <v>1.2032561689137689E-2</v>
      </c>
      <c r="F7" s="19">
        <f t="shared" si="0"/>
        <v>0.18211296282331646</v>
      </c>
      <c r="G7" s="19">
        <f t="shared" si="0"/>
        <v>0.11520796121459553</v>
      </c>
      <c r="H7" s="19">
        <f t="shared" si="0"/>
        <v>0.15509285741524614</v>
      </c>
      <c r="I7" s="19">
        <f t="shared" si="0"/>
        <v>2.1723341036645749E-2</v>
      </c>
      <c r="J7" s="19">
        <f t="shared" si="0"/>
        <v>-9.1766834690448773E-3</v>
      </c>
      <c r="K7" s="19">
        <f t="shared" si="0"/>
        <v>5.1200104356900589E-2</v>
      </c>
      <c r="L7" s="19">
        <f t="shared" si="0"/>
        <v>1.1742259725755488E-2</v>
      </c>
    </row>
    <row r="9" spans="1:12" x14ac:dyDescent="0.3">
      <c r="B9" t="s">
        <v>60</v>
      </c>
      <c r="C9" s="25">
        <f>IFERROR(SUM('Data Sheet'!C18,'Data Sheet'!C20,'Data Sheet'!C21,'Data Sheet'!C22)-1*'Data Sheet'!C19,0)</f>
        <v>19314</v>
      </c>
      <c r="D9" s="25">
        <f>IFERROR(SUM('Data Sheet'!D18,'Data Sheet'!D20,'Data Sheet'!D21,'Data Sheet'!D22)-1*'Data Sheet'!D19,0)</f>
        <v>21081</v>
      </c>
      <c r="E9" s="25">
        <f>IFERROR(SUM('Data Sheet'!E18,'Data Sheet'!E20,'Data Sheet'!E21,'Data Sheet'!E22)-1*'Data Sheet'!E19,0)</f>
        <v>20614</v>
      </c>
      <c r="F9" s="25">
        <f>IFERROR(SUM('Data Sheet'!F18,'Data Sheet'!F20,'Data Sheet'!F21,'Data Sheet'!F22)-1*'Data Sheet'!F19,0)</f>
        <v>25301</v>
      </c>
      <c r="G9" s="25">
        <f>IFERROR(SUM('Data Sheet'!G18,'Data Sheet'!G20,'Data Sheet'!G21,'Data Sheet'!G22)-1*'Data Sheet'!G19,0)</f>
        <v>29066</v>
      </c>
      <c r="H9" s="25">
        <f>IFERROR(SUM('Data Sheet'!H18,'Data Sheet'!H20,'Data Sheet'!H21,'Data Sheet'!H22)-1*'Data Sheet'!H19,0)</f>
        <v>35381</v>
      </c>
      <c r="I9" s="25">
        <f>IFERROR(SUM('Data Sheet'!I18,'Data Sheet'!I20,'Data Sheet'!I21,'Data Sheet'!I22)-1*'Data Sheet'!I19,0)</f>
        <v>33651</v>
      </c>
      <c r="J9" s="25">
        <f>IFERROR(SUM('Data Sheet'!J18,'Data Sheet'!J20,'Data Sheet'!J21,'Data Sheet'!J22)-1*'Data Sheet'!J19,0)</f>
        <v>33519</v>
      </c>
      <c r="K9" s="25">
        <f>IFERROR(SUM('Data Sheet'!K18,'Data Sheet'!K20,'Data Sheet'!K21,'Data Sheet'!K22)-1*'Data Sheet'!K19,0)</f>
        <v>35634</v>
      </c>
      <c r="L9" s="25">
        <f>IFERROR(SUM('Data Sheet'!H43:K43),0)</f>
        <v>50108</v>
      </c>
    </row>
    <row r="10" spans="1:12" x14ac:dyDescent="0.3">
      <c r="B10" s="17" t="s">
        <v>61</v>
      </c>
      <c r="C10" s="19">
        <f>C9/C6</f>
        <v>0.54336756224504146</v>
      </c>
      <c r="D10" s="19">
        <f t="shared" ref="D10:L10" si="1">D9/D6</f>
        <v>0.53627575680488426</v>
      </c>
      <c r="E10" s="19">
        <f t="shared" si="1"/>
        <v>0.51816102355277383</v>
      </c>
      <c r="F10" s="19">
        <f t="shared" si="1"/>
        <v>0.53799863910861612</v>
      </c>
      <c r="G10" s="19">
        <f t="shared" si="1"/>
        <v>0.55420813789421497</v>
      </c>
      <c r="H10" s="19">
        <f t="shared" si="1"/>
        <v>0.58403763618355897</v>
      </c>
      <c r="I10" s="19">
        <f t="shared" si="1"/>
        <v>0.54367002714230317</v>
      </c>
      <c r="J10" s="19">
        <f t="shared" si="1"/>
        <v>0.54655296112705454</v>
      </c>
      <c r="K10" s="19">
        <f t="shared" si="1"/>
        <v>0.55273934355028853</v>
      </c>
      <c r="L10" s="19">
        <f t="shared" si="1"/>
        <v>0.76823303947872745</v>
      </c>
    </row>
    <row r="11" spans="1:12" x14ac:dyDescent="0.3"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 x14ac:dyDescent="0.3">
      <c r="B12" s="172" t="s">
        <v>62</v>
      </c>
      <c r="C12" s="172">
        <f>C6-C9</f>
        <v>16231</v>
      </c>
      <c r="D12" s="172">
        <f>D6-D9</f>
        <v>18229</v>
      </c>
      <c r="E12" s="172">
        <f t="shared" ref="E12:L12" si="2">E6-E9</f>
        <v>19169</v>
      </c>
      <c r="F12" s="172">
        <f t="shared" si="2"/>
        <v>21727</v>
      </c>
      <c r="G12" s="172">
        <f t="shared" si="2"/>
        <v>23380</v>
      </c>
      <c r="H12" s="172">
        <f t="shared" si="2"/>
        <v>25199</v>
      </c>
      <c r="I12" s="172">
        <f t="shared" si="2"/>
        <v>28245</v>
      </c>
      <c r="J12" s="172">
        <f t="shared" si="2"/>
        <v>27809</v>
      </c>
      <c r="K12" s="172">
        <f t="shared" si="2"/>
        <v>28834</v>
      </c>
      <c r="L12" s="172">
        <f t="shared" si="2"/>
        <v>15117</v>
      </c>
    </row>
    <row r="13" spans="1:12" x14ac:dyDescent="0.3">
      <c r="B13" s="17" t="s">
        <v>69</v>
      </c>
      <c r="C13" s="19">
        <f>C12/C6</f>
        <v>0.45663243775495849</v>
      </c>
      <c r="D13" s="19">
        <f t="shared" ref="D13:L13" si="3">D12/D6</f>
        <v>0.46372424319511574</v>
      </c>
      <c r="E13" s="19">
        <f t="shared" si="3"/>
        <v>0.48183897644722617</v>
      </c>
      <c r="F13" s="19">
        <f t="shared" si="3"/>
        <v>0.46200136089138388</v>
      </c>
      <c r="G13" s="19">
        <f t="shared" si="3"/>
        <v>0.44579186210578498</v>
      </c>
      <c r="H13" s="19">
        <f t="shared" si="3"/>
        <v>0.41596236381644108</v>
      </c>
      <c r="I13" s="19">
        <f t="shared" si="3"/>
        <v>0.45632997285769678</v>
      </c>
      <c r="J13" s="19">
        <f t="shared" si="3"/>
        <v>0.45344703887294546</v>
      </c>
      <c r="K13" s="19">
        <f t="shared" si="3"/>
        <v>0.44726065644971147</v>
      </c>
      <c r="L13" s="19">
        <f t="shared" si="3"/>
        <v>0.23176696052127252</v>
      </c>
    </row>
    <row r="14" spans="1:12" x14ac:dyDescent="0.3">
      <c r="B14" s="17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2" x14ac:dyDescent="0.3">
      <c r="B15" t="s">
        <v>63</v>
      </c>
      <c r="C15" s="25">
        <f>IFERROR(SUM('Data Sheet'!C23:C24),0)</f>
        <v>8732</v>
      </c>
      <c r="D15" s="25">
        <f>IFERROR(SUM('Data Sheet'!D23:D24),0)</f>
        <v>9349</v>
      </c>
      <c r="E15" s="25">
        <f>IFERROR(SUM('Data Sheet'!E23:E24),0)</f>
        <v>9308</v>
      </c>
      <c r="F15" s="25">
        <f>IFERROR(SUM('Data Sheet'!F23:F24),0)</f>
        <v>10101</v>
      </c>
      <c r="G15" s="25">
        <f>IFERROR(SUM('Data Sheet'!G23:G24),0)</f>
        <v>10523</v>
      </c>
      <c r="H15" s="25">
        <f>IFERROR(SUM('Data Sheet'!H23:H24),0)</f>
        <v>11052</v>
      </c>
      <c r="I15" s="25">
        <f>IFERROR(SUM('Data Sheet'!I23:I24),0)</f>
        <v>13586</v>
      </c>
      <c r="J15" s="25">
        <f>IFERROR(SUM('Data Sheet'!J23:J24),0)</f>
        <v>13111</v>
      </c>
      <c r="K15" s="25">
        <f>IFERROR(SUM('Data Sheet'!K23:K24),0)</f>
        <v>13795</v>
      </c>
      <c r="L15" s="14">
        <f>IFERROR(SUM('Data Sheet'!L23:L24),0)</f>
        <v>0</v>
      </c>
    </row>
    <row r="16" spans="1:12" x14ac:dyDescent="0.3">
      <c r="B16" s="17" t="s">
        <v>64</v>
      </c>
      <c r="C16" s="19">
        <f>C15/C6</f>
        <v>0.24566043044028696</v>
      </c>
      <c r="D16" s="19">
        <f t="shared" ref="D16:L16" si="4">D15/D6</f>
        <v>0.23782752480284916</v>
      </c>
      <c r="E16" s="19">
        <f t="shared" si="4"/>
        <v>0.23396928336224015</v>
      </c>
      <c r="F16" s="19">
        <f t="shared" si="4"/>
        <v>0.21478693544271499</v>
      </c>
      <c r="G16" s="19">
        <f t="shared" si="4"/>
        <v>0.20064447240971667</v>
      </c>
      <c r="H16" s="19">
        <f t="shared" si="4"/>
        <v>0.18243644767249917</v>
      </c>
      <c r="I16" s="19">
        <f t="shared" si="4"/>
        <v>0.21949722114514669</v>
      </c>
      <c r="J16" s="19">
        <f t="shared" si="4"/>
        <v>0.21378489433863815</v>
      </c>
      <c r="K16" s="19">
        <f t="shared" si="4"/>
        <v>0.21398213066947944</v>
      </c>
      <c r="L16" s="19">
        <f t="shared" si="4"/>
        <v>0</v>
      </c>
    </row>
    <row r="17" spans="2:12" x14ac:dyDescent="0.3"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2:12" x14ac:dyDescent="0.3">
      <c r="B18" s="172" t="s">
        <v>65</v>
      </c>
      <c r="C18" s="172">
        <f t="shared" ref="C18:L18" si="5">C12-C15</f>
        <v>7499</v>
      </c>
      <c r="D18" s="172">
        <f t="shared" si="5"/>
        <v>8880</v>
      </c>
      <c r="E18" s="172">
        <f t="shared" si="5"/>
        <v>9861</v>
      </c>
      <c r="F18" s="172">
        <f t="shared" si="5"/>
        <v>11626</v>
      </c>
      <c r="G18" s="172">
        <f t="shared" si="5"/>
        <v>12857</v>
      </c>
      <c r="H18" s="172">
        <f t="shared" si="5"/>
        <v>14147</v>
      </c>
      <c r="I18" s="172">
        <f t="shared" si="5"/>
        <v>14659</v>
      </c>
      <c r="J18" s="172">
        <f t="shared" si="5"/>
        <v>14698</v>
      </c>
      <c r="K18" s="172">
        <f t="shared" si="5"/>
        <v>15039</v>
      </c>
      <c r="L18" s="172">
        <f t="shared" si="5"/>
        <v>15117</v>
      </c>
    </row>
    <row r="19" spans="2:12" x14ac:dyDescent="0.3">
      <c r="B19" s="17" t="s">
        <v>66</v>
      </c>
      <c r="C19" s="19">
        <f>C18/C6</f>
        <v>0.21097200731467156</v>
      </c>
      <c r="D19" s="19">
        <f t="shared" ref="D19:L19" si="6">D18/D6</f>
        <v>0.2258967183922666</v>
      </c>
      <c r="E19" s="19">
        <f t="shared" si="6"/>
        <v>0.24786969308498605</v>
      </c>
      <c r="F19" s="19">
        <f t="shared" si="6"/>
        <v>0.24721442544866887</v>
      </c>
      <c r="G19" s="19">
        <f t="shared" si="6"/>
        <v>0.24514738969606834</v>
      </c>
      <c r="H19" s="19">
        <f t="shared" si="6"/>
        <v>0.23352591614394189</v>
      </c>
      <c r="I19" s="19">
        <f t="shared" si="6"/>
        <v>0.23683275171255008</v>
      </c>
      <c r="J19" s="19">
        <f t="shared" si="6"/>
        <v>0.23966214453430734</v>
      </c>
      <c r="K19" s="19">
        <f t="shared" si="6"/>
        <v>0.23327852578023206</v>
      </c>
      <c r="L19" s="19">
        <f t="shared" si="6"/>
        <v>0.23176696052127252</v>
      </c>
    </row>
    <row r="20" spans="2:12" x14ac:dyDescent="0.3">
      <c r="B20" s="17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12" x14ac:dyDescent="0.3">
      <c r="B21" t="s">
        <v>5</v>
      </c>
      <c r="C21" s="25">
        <f>IFERROR('Data Sheet'!C26,0)</f>
        <v>520</v>
      </c>
      <c r="D21" s="25">
        <f>IFERROR('Data Sheet'!D26,0)</f>
        <v>565</v>
      </c>
      <c r="E21" s="25">
        <f>IFERROR('Data Sheet'!E26,0)</f>
        <v>1002</v>
      </c>
      <c r="F21" s="25">
        <f>IFERROR('Data Sheet'!F26,0)</f>
        <v>1074</v>
      </c>
      <c r="G21" s="25">
        <f>IFERROR('Data Sheet'!G26,0)</f>
        <v>1091</v>
      </c>
      <c r="H21" s="25">
        <f>IFERROR('Data Sheet'!H26,0)</f>
        <v>1137</v>
      </c>
      <c r="I21" s="25">
        <f>IFERROR('Data Sheet'!I26,0)</f>
        <v>1216</v>
      </c>
      <c r="J21" s="25">
        <f>IFERROR('Data Sheet'!J26,0)</f>
        <v>1253</v>
      </c>
      <c r="K21" s="25">
        <f>IFERROR('Data Sheet'!K26,0)</f>
        <v>1333</v>
      </c>
      <c r="L21" s="25">
        <f>IFERROR(SUM('Data Sheet'!H45:K45),0)</f>
        <v>1368</v>
      </c>
    </row>
    <row r="22" spans="2:12" x14ac:dyDescent="0.3">
      <c r="B22" s="17" t="s">
        <v>68</v>
      </c>
      <c r="C22" s="19">
        <f t="shared" ref="C22:L22" si="7">C21/C6</f>
        <v>1.4629343086228723E-2</v>
      </c>
      <c r="D22" s="19">
        <f t="shared" si="7"/>
        <v>1.437293309590435E-2</v>
      </c>
      <c r="E22" s="19">
        <f t="shared" si="7"/>
        <v>2.5186637508483524E-2</v>
      </c>
      <c r="F22" s="19">
        <f t="shared" si="7"/>
        <v>2.2837458535340648E-2</v>
      </c>
      <c r="G22" s="19">
        <f t="shared" si="7"/>
        <v>2.0802349082866187E-2</v>
      </c>
      <c r="H22" s="19">
        <f t="shared" si="7"/>
        <v>1.8768570485308684E-2</v>
      </c>
      <c r="I22" s="19">
        <f t="shared" si="7"/>
        <v>1.9645857567532635E-2</v>
      </c>
      <c r="J22" s="19">
        <f t="shared" si="7"/>
        <v>2.0431124445603965E-2</v>
      </c>
      <c r="K22" s="19">
        <f t="shared" si="7"/>
        <v>2.0676924986039586E-2</v>
      </c>
      <c r="L22" s="19">
        <f t="shared" si="7"/>
        <v>2.097355308547336E-2</v>
      </c>
    </row>
    <row r="23" spans="2:12" x14ac:dyDescent="0.3"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2:12" x14ac:dyDescent="0.3">
      <c r="B24" s="172" t="s">
        <v>231</v>
      </c>
      <c r="C24" s="172">
        <f>IFERROR((C18-C21),0)</f>
        <v>6979</v>
      </c>
      <c r="D24" s="172">
        <f t="shared" ref="D24:L24" si="8">IFERROR((D18-D21),0)</f>
        <v>8315</v>
      </c>
      <c r="E24" s="172">
        <f t="shared" si="8"/>
        <v>8859</v>
      </c>
      <c r="F24" s="172">
        <f t="shared" si="8"/>
        <v>10552</v>
      </c>
      <c r="G24" s="172">
        <f t="shared" si="8"/>
        <v>11766</v>
      </c>
      <c r="H24" s="172">
        <f t="shared" si="8"/>
        <v>13010</v>
      </c>
      <c r="I24" s="172">
        <f t="shared" si="8"/>
        <v>13443</v>
      </c>
      <c r="J24" s="172">
        <f t="shared" si="8"/>
        <v>13445</v>
      </c>
      <c r="K24" s="172">
        <f t="shared" si="8"/>
        <v>13706</v>
      </c>
      <c r="L24" s="172">
        <f t="shared" si="8"/>
        <v>13749</v>
      </c>
    </row>
    <row r="25" spans="2:12" x14ac:dyDescent="0.3">
      <c r="B25" s="17" t="s">
        <v>281</v>
      </c>
      <c r="C25" s="19">
        <f>IFERROR(C24/C6,0)</f>
        <v>0.19634266422844282</v>
      </c>
      <c r="D25" s="19">
        <f t="shared" ref="D25:L25" si="9">IFERROR(D24/D6,0)</f>
        <v>0.21152378529636226</v>
      </c>
      <c r="E25" s="19">
        <f t="shared" si="9"/>
        <v>0.22268305557650253</v>
      </c>
      <c r="F25" s="19">
        <f t="shared" si="9"/>
        <v>0.22437696691332823</v>
      </c>
      <c r="G25" s="19">
        <f t="shared" si="9"/>
        <v>0.22434504061320215</v>
      </c>
      <c r="H25" s="19">
        <f t="shared" si="9"/>
        <v>0.21475734565863322</v>
      </c>
      <c r="I25" s="19">
        <f t="shared" si="9"/>
        <v>0.21718689414501746</v>
      </c>
      <c r="J25" s="19">
        <f t="shared" si="9"/>
        <v>0.21923102008870338</v>
      </c>
      <c r="K25" s="19">
        <f t="shared" si="9"/>
        <v>0.21260160079419246</v>
      </c>
      <c r="L25" s="19">
        <f t="shared" si="9"/>
        <v>0.21079340743579916</v>
      </c>
    </row>
    <row r="26" spans="2:12" x14ac:dyDescent="0.3"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2:12" x14ac:dyDescent="0.3">
      <c r="B27" t="s">
        <v>6</v>
      </c>
      <c r="C27" s="25">
        <f>IFERROR('Data Sheet'!C27,0)</f>
        <v>26</v>
      </c>
      <c r="D27" s="25">
        <f>IFERROR('Data Sheet'!D27,0)</f>
        <v>33</v>
      </c>
      <c r="E27" s="25">
        <f>IFERROR('Data Sheet'!E27,0)</f>
        <v>118</v>
      </c>
      <c r="F27" s="25">
        <f>IFERROR('Data Sheet'!F27,0)</f>
        <v>117</v>
      </c>
      <c r="G27" s="25">
        <f>IFERROR('Data Sheet'!G27,0)</f>
        <v>106</v>
      </c>
      <c r="H27" s="25">
        <f>IFERROR('Data Sheet'!H27,0)</f>
        <v>114</v>
      </c>
      <c r="I27" s="25">
        <f>IFERROR('Data Sheet'!I27,0)</f>
        <v>334</v>
      </c>
      <c r="J27" s="25">
        <f>IFERROR('Data Sheet'!J27,0)</f>
        <v>381</v>
      </c>
      <c r="K27" s="25">
        <f>IFERROR('Data Sheet'!K27,0)</f>
        <v>410</v>
      </c>
      <c r="L27" s="25">
        <f>IFERROR(SUM('Data Sheet'!H46:K46),0)</f>
        <v>415</v>
      </c>
    </row>
    <row r="28" spans="2:12" x14ac:dyDescent="0.3">
      <c r="B28" s="17" t="s">
        <v>67</v>
      </c>
      <c r="C28" s="19">
        <f t="shared" ref="C28:L28" si="10">C27/C6</f>
        <v>7.3146715431143621E-4</v>
      </c>
      <c r="D28" s="19">
        <f t="shared" si="10"/>
        <v>8.3948104807936915E-4</v>
      </c>
      <c r="E28" s="19">
        <f t="shared" si="10"/>
        <v>2.9660910439132291E-3</v>
      </c>
      <c r="F28" s="19">
        <f t="shared" si="10"/>
        <v>2.4878795611125285E-3</v>
      </c>
      <c r="G28" s="19">
        <f t="shared" si="10"/>
        <v>2.0211264920108303E-3</v>
      </c>
      <c r="H28" s="19">
        <f t="shared" si="10"/>
        <v>1.881809177946517E-3</v>
      </c>
      <c r="I28" s="19">
        <f t="shared" si="10"/>
        <v>5.3961483779242604E-3</v>
      </c>
      <c r="J28" s="19">
        <f t="shared" si="10"/>
        <v>6.2124967388468566E-3</v>
      </c>
      <c r="K28" s="19">
        <f t="shared" si="10"/>
        <v>6.3597443692994977E-3</v>
      </c>
      <c r="L28" s="19">
        <f t="shared" si="10"/>
        <v>6.362591031046378E-3</v>
      </c>
    </row>
    <row r="29" spans="2:12" x14ac:dyDescent="0.3"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2:12" x14ac:dyDescent="0.3">
      <c r="B30" s="172" t="s">
        <v>70</v>
      </c>
      <c r="C30" s="172">
        <f>IFERROR(C24-C27,0)</f>
        <v>6953</v>
      </c>
      <c r="D30" s="172">
        <f t="shared" ref="D30:L30" si="11">IFERROR(D24-D27,0)</f>
        <v>8282</v>
      </c>
      <c r="E30" s="172">
        <f t="shared" si="11"/>
        <v>8741</v>
      </c>
      <c r="F30" s="172">
        <f t="shared" si="11"/>
        <v>10435</v>
      </c>
      <c r="G30" s="172">
        <f t="shared" si="11"/>
        <v>11660</v>
      </c>
      <c r="H30" s="172">
        <f t="shared" si="11"/>
        <v>12896</v>
      </c>
      <c r="I30" s="172">
        <f t="shared" si="11"/>
        <v>13109</v>
      </c>
      <c r="J30" s="172">
        <f t="shared" si="11"/>
        <v>13064</v>
      </c>
      <c r="K30" s="172">
        <f t="shared" si="11"/>
        <v>13296</v>
      </c>
      <c r="L30" s="172">
        <f t="shared" si="11"/>
        <v>13334</v>
      </c>
    </row>
    <row r="31" spans="2:12" x14ac:dyDescent="0.3">
      <c r="B31" s="17" t="s">
        <v>71</v>
      </c>
      <c r="C31" s="19">
        <f>C30/C6</f>
        <v>0.19561119707413138</v>
      </c>
      <c r="D31" s="19">
        <f t="shared" ref="D31:L31" si="12">D30/D6</f>
        <v>0.21068430424828288</v>
      </c>
      <c r="E31" s="19">
        <f t="shared" si="12"/>
        <v>0.21971696453258929</v>
      </c>
      <c r="F31" s="19">
        <f t="shared" si="12"/>
        <v>0.22188908735221571</v>
      </c>
      <c r="G31" s="19">
        <f t="shared" si="12"/>
        <v>0.22232391412119132</v>
      </c>
      <c r="H31" s="19">
        <f t="shared" si="12"/>
        <v>0.21287553648068669</v>
      </c>
      <c r="I31" s="19">
        <f t="shared" si="12"/>
        <v>0.2117907457670932</v>
      </c>
      <c r="J31" s="19">
        <f t="shared" si="12"/>
        <v>0.21301852334985652</v>
      </c>
      <c r="K31" s="19">
        <f t="shared" si="12"/>
        <v>0.20624185642489298</v>
      </c>
      <c r="L31" s="19">
        <f t="shared" si="12"/>
        <v>0.20443081640475277</v>
      </c>
    </row>
    <row r="33" spans="2:12" x14ac:dyDescent="0.3">
      <c r="B33" t="s">
        <v>8</v>
      </c>
      <c r="C33" s="14">
        <f>IFERROR('Data Sheet'!C29,0)</f>
        <v>2079</v>
      </c>
      <c r="D33" s="14">
        <f>IFERROR('Data Sheet'!D29,0)</f>
        <v>2544</v>
      </c>
      <c r="E33" s="14">
        <f>IFERROR('Data Sheet'!E29,0)</f>
        <v>2409</v>
      </c>
      <c r="F33" s="25">
        <f>IFERROR('Data Sheet'!F29,0)</f>
        <v>2606</v>
      </c>
      <c r="G33" s="25">
        <f>IFERROR('Data Sheet'!G29,0)</f>
        <v>2987</v>
      </c>
      <c r="H33" s="25">
        <f>IFERROR('Data Sheet'!H29,0)</f>
        <v>3201</v>
      </c>
      <c r="I33" s="25">
        <f>IFERROR('Data Sheet'!I29,0)</f>
        <v>3644</v>
      </c>
      <c r="J33" s="25">
        <f>IFERROR('Data Sheet'!J29,0)</f>
        <v>3748</v>
      </c>
      <c r="K33" s="25">
        <f>IFERROR('Data Sheet'!K29,0)</f>
        <v>3160</v>
      </c>
      <c r="L33" s="25">
        <f>IFERROR(SUM('Data Sheet'!H48:K48),0)</f>
        <v>3169</v>
      </c>
    </row>
    <row r="34" spans="2:12" x14ac:dyDescent="0.3">
      <c r="B34" s="17" t="s">
        <v>72</v>
      </c>
      <c r="C34" s="19">
        <f>C33/C30</f>
        <v>0.29900762260894576</v>
      </c>
      <c r="D34" s="19">
        <f t="shared" ref="D34:L34" si="13">D33/D30</f>
        <v>0.30717218063269741</v>
      </c>
      <c r="E34" s="19">
        <f t="shared" si="13"/>
        <v>0.27559775769362771</v>
      </c>
      <c r="F34" s="19">
        <f t="shared" si="13"/>
        <v>0.24973646382367035</v>
      </c>
      <c r="G34" s="19">
        <f t="shared" si="13"/>
        <v>0.25617495711835336</v>
      </c>
      <c r="H34" s="19">
        <f t="shared" si="13"/>
        <v>0.24821650124069478</v>
      </c>
      <c r="I34" s="19">
        <f t="shared" si="13"/>
        <v>0.27797696239224962</v>
      </c>
      <c r="J34" s="19">
        <f t="shared" si="13"/>
        <v>0.28689528475199022</v>
      </c>
      <c r="K34" s="19">
        <f t="shared" si="13"/>
        <v>0.23766546329723226</v>
      </c>
      <c r="L34" s="19">
        <f t="shared" si="13"/>
        <v>0.23766311684415778</v>
      </c>
    </row>
    <row r="36" spans="2:12" x14ac:dyDescent="0.3">
      <c r="B36" s="172" t="s">
        <v>73</v>
      </c>
      <c r="C36" s="172">
        <f>IFERROR(C30-C33,0)</f>
        <v>4874</v>
      </c>
      <c r="D36" s="172">
        <f t="shared" ref="D36:L36" si="14">IFERROR(D30-D33,0)</f>
        <v>5738</v>
      </c>
      <c r="E36" s="172">
        <f t="shared" si="14"/>
        <v>6332</v>
      </c>
      <c r="F36" s="172">
        <f t="shared" si="14"/>
        <v>7829</v>
      </c>
      <c r="G36" s="172">
        <f t="shared" si="14"/>
        <v>8673</v>
      </c>
      <c r="H36" s="172">
        <f t="shared" si="14"/>
        <v>9695</v>
      </c>
      <c r="I36" s="172">
        <f t="shared" si="14"/>
        <v>9465</v>
      </c>
      <c r="J36" s="172">
        <f t="shared" si="14"/>
        <v>9316</v>
      </c>
      <c r="K36" s="172">
        <f t="shared" si="14"/>
        <v>10136</v>
      </c>
      <c r="L36" s="172">
        <f t="shared" si="14"/>
        <v>10165</v>
      </c>
    </row>
    <row r="37" spans="2:12" x14ac:dyDescent="0.3">
      <c r="B37" s="17" t="s">
        <v>74</v>
      </c>
      <c r="C37" s="19">
        <f>C36/C6</f>
        <v>0.1371219580813054</v>
      </c>
      <c r="D37" s="19">
        <f t="shared" ref="D37:L37" si="15">D36/D6</f>
        <v>0.14596794708725516</v>
      </c>
      <c r="E37" s="19">
        <f t="shared" si="15"/>
        <v>0.15916346178015736</v>
      </c>
      <c r="F37" s="19">
        <f t="shared" si="15"/>
        <v>0.16647529131581185</v>
      </c>
      <c r="G37" s="19">
        <f t="shared" si="15"/>
        <v>0.16537009495481067</v>
      </c>
      <c r="H37" s="19">
        <f t="shared" si="15"/>
        <v>0.16003631561571477</v>
      </c>
      <c r="I37" s="19">
        <f t="shared" si="15"/>
        <v>0.15291779759596744</v>
      </c>
      <c r="J37" s="19">
        <f t="shared" si="15"/>
        <v>0.15190451343595096</v>
      </c>
      <c r="K37" s="19">
        <f t="shared" si="15"/>
        <v>0.15722529006638952</v>
      </c>
      <c r="L37" s="19">
        <f t="shared" si="15"/>
        <v>0.15584515139900346</v>
      </c>
    </row>
    <row r="39" spans="2:12" x14ac:dyDescent="0.3">
      <c r="B39" t="s">
        <v>75</v>
      </c>
      <c r="C39" s="27">
        <f>IFERROR('Data Sheet'!B93,0)</f>
        <v>216.43</v>
      </c>
      <c r="D39" s="27">
        <f>IFERROR('Data Sheet'!C93,0)</f>
        <v>216.45</v>
      </c>
      <c r="E39" s="27">
        <f>IFERROR('Data Sheet'!D93,0)</f>
        <v>216.47</v>
      </c>
      <c r="F39" s="27">
        <f>IFERROR('Data Sheet'!E93,0)</f>
        <v>216.48</v>
      </c>
      <c r="G39" s="27">
        <f>IFERROR('Data Sheet'!F93,0)</f>
        <v>234.96</v>
      </c>
      <c r="H39" s="27">
        <f>IFERROR('Data Sheet'!G93,0)</f>
        <v>234.96</v>
      </c>
      <c r="I39" s="27">
        <f>IFERROR('Data Sheet'!H93,0)</f>
        <v>234.96</v>
      </c>
      <c r="J39" s="27">
        <f>IFERROR('Data Sheet'!I93,0)</f>
        <v>234.96</v>
      </c>
      <c r="K39" s="27">
        <f>IFERROR('Data Sheet'!J93,0)</f>
        <v>234.96</v>
      </c>
      <c r="L39" s="27">
        <f>IFERROR('Data Sheet'!K93,0)</f>
        <v>234.96</v>
      </c>
    </row>
    <row r="41" spans="2:12" x14ac:dyDescent="0.3">
      <c r="B41" t="s">
        <v>76</v>
      </c>
      <c r="C41" s="14">
        <f>IFERROR(C36/C39,0)</f>
        <v>22.519983366446425</v>
      </c>
      <c r="D41" s="14">
        <f t="shared" ref="D41:L41" si="16">IFERROR(D36/D39,0)</f>
        <v>26.509586509586512</v>
      </c>
      <c r="E41" s="14">
        <f t="shared" si="16"/>
        <v>29.251166443387074</v>
      </c>
      <c r="F41" s="14">
        <f t="shared" si="16"/>
        <v>36.1650036954915</v>
      </c>
      <c r="G41" s="14">
        <f t="shared" si="16"/>
        <v>36.912665985699689</v>
      </c>
      <c r="H41" s="14">
        <f t="shared" si="16"/>
        <v>41.262342526387471</v>
      </c>
      <c r="I41" s="14">
        <f t="shared" si="16"/>
        <v>40.283452502553622</v>
      </c>
      <c r="J41" s="14">
        <f t="shared" si="16"/>
        <v>39.649302008852572</v>
      </c>
      <c r="K41" s="14">
        <f t="shared" si="16"/>
        <v>43.139257745999316</v>
      </c>
      <c r="L41" s="14">
        <f t="shared" si="16"/>
        <v>43.262683009874017</v>
      </c>
    </row>
    <row r="42" spans="2:12" x14ac:dyDescent="0.3">
      <c r="B42" s="17" t="s">
        <v>78</v>
      </c>
      <c r="C42" s="19"/>
      <c r="D42" s="19">
        <f>IFERROR(D41/C41-1,0)</f>
        <v>0.1771583521275768</v>
      </c>
      <c r="E42" s="19">
        <f t="shared" ref="E42:L42" si="17">IFERROR(E41/D41-1,0)</f>
        <v>0.10341843441462739</v>
      </c>
      <c r="F42" s="19">
        <f t="shared" si="17"/>
        <v>0.23636107864230027</v>
      </c>
      <c r="G42" s="19">
        <f t="shared" si="17"/>
        <v>2.0673640641751145E-2</v>
      </c>
      <c r="H42" s="19">
        <f t="shared" si="17"/>
        <v>0.11783696529459253</v>
      </c>
      <c r="I42" s="19">
        <f t="shared" si="17"/>
        <v>-2.3723568849922771E-2</v>
      </c>
      <c r="J42" s="19">
        <f t="shared" si="17"/>
        <v>-1.574220813523497E-2</v>
      </c>
      <c r="K42" s="19">
        <f t="shared" si="17"/>
        <v>8.8020609703735486E-2</v>
      </c>
      <c r="L42" s="19">
        <f t="shared" si="17"/>
        <v>2.8610891870559652E-3</v>
      </c>
    </row>
    <row r="44" spans="2:12" x14ac:dyDescent="0.3">
      <c r="B44" t="s">
        <v>77</v>
      </c>
      <c r="C44" s="14">
        <f>IFERROR('Data Sheet'!C31/HistoricalFS!C39,0)</f>
        <v>19.960264288684563</v>
      </c>
      <c r="D44" s="14">
        <f>IFERROR('Data Sheet'!D31/HistoricalFS!D39,0)</f>
        <v>21.954261954261955</v>
      </c>
      <c r="E44" s="14">
        <f>IFERROR('Data Sheet'!E31/HistoricalFS!E39,0)</f>
        <v>24.945719961195547</v>
      </c>
      <c r="F44" s="14">
        <f>IFERROR('Data Sheet'!F31/HistoricalFS!F39,0)</f>
        <v>43.964800443458984</v>
      </c>
      <c r="G44" s="14">
        <f>IFERROR('Data Sheet'!G31/HistoricalFS!G39,0)</f>
        <v>34.005788219271366</v>
      </c>
      <c r="H44" s="14">
        <f>IFERROR('Data Sheet'!H31/HistoricalFS!H39,0)</f>
        <v>39.006639427987743</v>
      </c>
      <c r="I44" s="14">
        <f>IFERROR('Data Sheet'!I31/HistoricalFS!I39,0)</f>
        <v>42.007150153217566</v>
      </c>
      <c r="J44" s="14">
        <f>IFERROR('Data Sheet'!J31/HistoricalFS!J39,0)</f>
        <v>53.009022812393596</v>
      </c>
      <c r="K44" s="14">
        <f>IFERROR('Data Sheet'!K31/HistoricalFS!K39,0)</f>
        <v>41.006979911474289</v>
      </c>
      <c r="L44" s="14">
        <f>IFERROR('Data Sheet'!L31/HistoricalFS!L39,0)</f>
        <v>0</v>
      </c>
    </row>
    <row r="45" spans="2:12" x14ac:dyDescent="0.3">
      <c r="B45" s="17" t="s">
        <v>79</v>
      </c>
      <c r="C45" s="19">
        <f>IFERROR(C44/C41,0)</f>
        <v>0.88633565859663521</v>
      </c>
      <c r="D45" s="19">
        <f t="shared" ref="D45:K45" si="18">IFERROR(D44/D41,0)</f>
        <v>0.82816312303938655</v>
      </c>
      <c r="E45" s="19">
        <f t="shared" si="18"/>
        <v>0.85281111813013266</v>
      </c>
      <c r="F45" s="19">
        <f t="shared" si="18"/>
        <v>1.2156724996806745</v>
      </c>
      <c r="G45" s="19">
        <f t="shared" si="18"/>
        <v>0.92124985587455333</v>
      </c>
      <c r="H45" s="19">
        <f t="shared" si="18"/>
        <v>0.94533264569365649</v>
      </c>
      <c r="I45" s="19">
        <f t="shared" si="18"/>
        <v>1.0427892234548337</v>
      </c>
      <c r="J45" s="19">
        <f t="shared" si="18"/>
        <v>1.3369471876341776</v>
      </c>
      <c r="K45" s="19">
        <f t="shared" si="18"/>
        <v>0.95057221783741119</v>
      </c>
      <c r="L45" s="19">
        <f t="shared" ref="L45" si="19">IFERROR(L41/L44,0)</f>
        <v>0</v>
      </c>
    </row>
    <row r="47" spans="2:12" x14ac:dyDescent="0.3">
      <c r="B47" t="s">
        <v>80</v>
      </c>
      <c r="C47" s="16">
        <f>IFERROR(IF(C41&gt;C44,1-C45,0),0)</f>
        <v>0.11366434140336479</v>
      </c>
      <c r="D47" s="16">
        <f t="shared" ref="D47:L47" si="20">IFERROR(IF(D41&gt;D44,1-D45,0),0)</f>
        <v>0.17183687696061345</v>
      </c>
      <c r="E47" s="16">
        <f t="shared" si="20"/>
        <v>0.14718888186986734</v>
      </c>
      <c r="F47" s="16">
        <f t="shared" si="20"/>
        <v>0</v>
      </c>
      <c r="G47" s="16">
        <f t="shared" si="20"/>
        <v>7.8750144125446675E-2</v>
      </c>
      <c r="H47" s="16">
        <f t="shared" si="20"/>
        <v>5.4667354306343507E-2</v>
      </c>
      <c r="I47" s="16">
        <f t="shared" si="20"/>
        <v>0</v>
      </c>
      <c r="J47" s="16">
        <f t="shared" si="20"/>
        <v>0</v>
      </c>
      <c r="K47" s="16">
        <f t="shared" si="20"/>
        <v>4.9427782162588807E-2</v>
      </c>
      <c r="L47" s="16">
        <f t="shared" si="20"/>
        <v>1</v>
      </c>
    </row>
    <row r="48" spans="2:12" x14ac:dyDescent="0.3"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x14ac:dyDescent="0.3"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x14ac:dyDescent="0.3"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x14ac:dyDescent="0.3"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x14ac:dyDescent="0.3"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4" spans="1:12" x14ac:dyDescent="0.3">
      <c r="A54" t="s">
        <v>58</v>
      </c>
      <c r="B54" s="20" t="s">
        <v>81</v>
      </c>
      <c r="C54" s="21"/>
      <c r="D54" s="21"/>
      <c r="E54" s="21"/>
      <c r="F54" s="21"/>
      <c r="G54" s="21"/>
      <c r="H54" s="21"/>
      <c r="I54" s="21"/>
      <c r="J54" s="21"/>
      <c r="K54" s="21"/>
      <c r="L54" s="236"/>
    </row>
    <row r="55" spans="1:12" x14ac:dyDescent="0.3">
      <c r="B55" t="s">
        <v>11</v>
      </c>
      <c r="C55" s="14">
        <f>IFERROR('Data Sheet'!C57,0)</f>
        <v>216</v>
      </c>
      <c r="D55" s="14">
        <f>IFERROR('Data Sheet'!D57,0)</f>
        <v>216</v>
      </c>
      <c r="E55" s="14">
        <f>IFERROR('Data Sheet'!E57,0)</f>
        <v>216</v>
      </c>
      <c r="F55" s="14">
        <f>IFERROR('Data Sheet'!F57,0)</f>
        <v>235</v>
      </c>
      <c r="G55" s="14">
        <f>IFERROR('Data Sheet'!G57,0)</f>
        <v>235</v>
      </c>
      <c r="H55" s="14">
        <f>IFERROR('Data Sheet'!H57,0)</f>
        <v>235</v>
      </c>
      <c r="I55" s="14">
        <f>IFERROR('Data Sheet'!I57,0)</f>
        <v>235</v>
      </c>
      <c r="J55" s="14">
        <f>IFERROR('Data Sheet'!J57,0)</f>
        <v>235</v>
      </c>
      <c r="K55" s="14">
        <f>IFERROR('Data Sheet'!K57,0)</f>
        <v>235</v>
      </c>
    </row>
    <row r="56" spans="1:12" x14ac:dyDescent="0.3">
      <c r="B56" t="s">
        <v>12</v>
      </c>
      <c r="C56" s="14">
        <f>IFERROR('Data Sheet'!C58,0)</f>
        <v>7065</v>
      </c>
      <c r="D56" s="14">
        <f>IFERROR('Data Sheet'!D58,0)</f>
        <v>7651</v>
      </c>
      <c r="E56" s="14">
        <f>IFERROR('Data Sheet'!E58,0)</f>
        <v>8013</v>
      </c>
      <c r="F56" s="14">
        <f>IFERROR('Data Sheet'!F58,0)</f>
        <v>47439</v>
      </c>
      <c r="G56" s="14">
        <f>IFERROR('Data Sheet'!G58,0)</f>
        <v>48826</v>
      </c>
      <c r="H56" s="14">
        <f>IFERROR('Data Sheet'!H58,0)</f>
        <v>50069</v>
      </c>
      <c r="I56" s="14">
        <f>IFERROR('Data Sheet'!I58,0)</f>
        <v>50983</v>
      </c>
      <c r="J56" s="14">
        <f>IFERROR('Data Sheet'!J58,0)</f>
        <v>49167</v>
      </c>
      <c r="K56" s="14">
        <f>IFERROR('Data Sheet'!K58,0)</f>
        <v>48504</v>
      </c>
    </row>
    <row r="57" spans="1:12" x14ac:dyDescent="0.3">
      <c r="B57" t="s">
        <v>36</v>
      </c>
      <c r="C57" s="14">
        <f>IFERROR('Data Sheet'!C59,0)</f>
        <v>0</v>
      </c>
      <c r="D57" s="14">
        <f>IFERROR('Data Sheet'!D59,0)</f>
        <v>99</v>
      </c>
      <c r="E57" s="14">
        <f>IFERROR('Data Sheet'!E59,0)</f>
        <v>0</v>
      </c>
      <c r="F57" s="14">
        <f>IFERROR('Data Sheet'!F59,0)</f>
        <v>0</v>
      </c>
      <c r="G57" s="14">
        <f>IFERROR('Data Sheet'!G59,0)</f>
        <v>1043</v>
      </c>
      <c r="H57" s="14">
        <f>IFERROR('Data Sheet'!H59,0)</f>
        <v>1219</v>
      </c>
      <c r="I57" s="14">
        <f>IFERROR('Data Sheet'!I59,0)</f>
        <v>1484</v>
      </c>
      <c r="J57" s="14">
        <f>IFERROR('Data Sheet'!J59,0)</f>
        <v>1648</v>
      </c>
      <c r="K57" s="14">
        <f>IFERROR('Data Sheet'!K59,0)</f>
        <v>1478</v>
      </c>
    </row>
    <row r="58" spans="1:12" x14ac:dyDescent="0.3">
      <c r="B58" t="s">
        <v>37</v>
      </c>
      <c r="C58" s="14">
        <f>IFERROR('Data Sheet'!C60,0)</f>
        <v>10581</v>
      </c>
      <c r="D58" s="14">
        <f>IFERROR('Data Sheet'!D60,0)</f>
        <v>10663</v>
      </c>
      <c r="E58" s="14">
        <f>IFERROR('Data Sheet'!E60,0)</f>
        <v>11924</v>
      </c>
      <c r="F58" s="14">
        <f>IFERROR('Data Sheet'!F60,0)</f>
        <v>21066</v>
      </c>
      <c r="G58" s="14">
        <f>IFERROR('Data Sheet'!G60,0)</f>
        <v>20402</v>
      </c>
      <c r="H58" s="14">
        <f>IFERROR('Data Sheet'!H60,0)</f>
        <v>21554</v>
      </c>
      <c r="I58" s="14">
        <f>IFERROR('Data Sheet'!I60,0)</f>
        <v>25787</v>
      </c>
      <c r="J58" s="14">
        <f>IFERROR('Data Sheet'!J60,0)</f>
        <v>28813</v>
      </c>
      <c r="K58" s="14">
        <f>IFERROR('Data Sheet'!K60,0)</f>
        <v>29521</v>
      </c>
    </row>
    <row r="59" spans="1:12" x14ac:dyDescent="0.3">
      <c r="B59" s="172" t="s">
        <v>82</v>
      </c>
      <c r="C59" s="172">
        <f>IFERROR('Data Sheet'!C61,0)</f>
        <v>17862</v>
      </c>
      <c r="D59" s="172">
        <f>IFERROR('Data Sheet'!D61,0)</f>
        <v>18629</v>
      </c>
      <c r="E59" s="172">
        <f>IFERROR('Data Sheet'!E61,0)</f>
        <v>20153</v>
      </c>
      <c r="F59" s="172">
        <f>IFERROR('Data Sheet'!F61,0)</f>
        <v>68740</v>
      </c>
      <c r="G59" s="172">
        <f>IFERROR('Data Sheet'!G61,0)</f>
        <v>70506</v>
      </c>
      <c r="H59" s="172">
        <f>IFERROR('Data Sheet'!H61,0)</f>
        <v>73077</v>
      </c>
      <c r="I59" s="172">
        <f>IFERROR('Data Sheet'!I61,0)</f>
        <v>78489</v>
      </c>
      <c r="J59" s="172">
        <f>IFERROR('Data Sheet'!J61,0)</f>
        <v>79863</v>
      </c>
      <c r="K59" s="172">
        <f>IFERROR('Data Sheet'!K61,0)</f>
        <v>79738</v>
      </c>
    </row>
    <row r="61" spans="1:12" x14ac:dyDescent="0.3">
      <c r="B61" t="s">
        <v>83</v>
      </c>
      <c r="C61" s="14">
        <f>IFERROR('Data Sheet'!C62,0)</f>
        <v>4528</v>
      </c>
      <c r="D61" s="14">
        <f>IFERROR('Data Sheet'!D62,0)</f>
        <v>4715</v>
      </c>
      <c r="E61" s="14">
        <f>IFERROR('Data Sheet'!E62,0)</f>
        <v>5479</v>
      </c>
      <c r="F61" s="14">
        <f>IFERROR('Data Sheet'!F62,0)</f>
        <v>51443</v>
      </c>
      <c r="G61" s="14">
        <f>IFERROR('Data Sheet'!G62,0)</f>
        <v>51473</v>
      </c>
      <c r="H61" s="14">
        <f>IFERROR('Data Sheet'!H62,0)</f>
        <v>52678</v>
      </c>
      <c r="I61" s="14">
        <f>IFERROR('Data Sheet'!I62,0)</f>
        <v>53744</v>
      </c>
      <c r="J61" s="14">
        <f>IFERROR('Data Sheet'!J62,0)</f>
        <v>54335</v>
      </c>
      <c r="K61" s="14">
        <f>IFERROR('Data Sheet'!K62,0)</f>
        <v>57428</v>
      </c>
    </row>
    <row r="62" spans="1:12" x14ac:dyDescent="0.3">
      <c r="B62" t="s">
        <v>15</v>
      </c>
      <c r="C62" s="14">
        <f>IFERROR('Data Sheet'!C63,0)</f>
        <v>461</v>
      </c>
      <c r="D62" s="14">
        <f>IFERROR('Data Sheet'!D63,0)</f>
        <v>406</v>
      </c>
      <c r="E62" s="14">
        <f>IFERROR('Data Sheet'!E63,0)</f>
        <v>597</v>
      </c>
      <c r="F62" s="14">
        <f>IFERROR('Data Sheet'!F63,0)</f>
        <v>745</v>
      </c>
      <c r="G62" s="14">
        <f>IFERROR('Data Sheet'!G63,0)</f>
        <v>1313</v>
      </c>
      <c r="H62" s="14">
        <f>IFERROR('Data Sheet'!H63,0)</f>
        <v>1132</v>
      </c>
      <c r="I62" s="14">
        <f>IFERROR('Data Sheet'!I63,0)</f>
        <v>1025</v>
      </c>
      <c r="J62" s="14">
        <f>IFERROR('Data Sheet'!J63,0)</f>
        <v>1009</v>
      </c>
      <c r="K62" s="14">
        <f>IFERROR('Data Sheet'!K63,0)</f>
        <v>880</v>
      </c>
    </row>
    <row r="63" spans="1:12" x14ac:dyDescent="0.3">
      <c r="B63" t="s">
        <v>16</v>
      </c>
      <c r="C63" s="14">
        <f>IFERROR('Data Sheet'!C64,0)</f>
        <v>2873</v>
      </c>
      <c r="D63" s="14">
        <f>IFERROR('Data Sheet'!D64,0)</f>
        <v>2716</v>
      </c>
      <c r="E63" s="14">
        <f>IFERROR('Data Sheet'!E64,0)</f>
        <v>1255</v>
      </c>
      <c r="F63" s="14">
        <f>IFERROR('Data Sheet'!F64,0)</f>
        <v>2709</v>
      </c>
      <c r="G63" s="14">
        <f>IFERROR('Data Sheet'!G64,0)</f>
        <v>3521</v>
      </c>
      <c r="H63" s="14">
        <f>IFERROR('Data Sheet'!H64,0)</f>
        <v>2882</v>
      </c>
      <c r="I63" s="14">
        <f>IFERROR('Data Sheet'!I64,0)</f>
        <v>4625</v>
      </c>
      <c r="J63" s="14">
        <f>IFERROR('Data Sheet'!J64,0)</f>
        <v>3810</v>
      </c>
      <c r="K63" s="14">
        <f>IFERROR('Data Sheet'!K64,0)</f>
        <v>4359</v>
      </c>
    </row>
    <row r="64" spans="1:12" x14ac:dyDescent="0.3">
      <c r="B64" t="s">
        <v>38</v>
      </c>
      <c r="C64" s="14">
        <f>IFERROR('Data Sheet'!C65-SUM('Data Sheet'!C67:C69),0)</f>
        <v>2692</v>
      </c>
      <c r="D64" s="14">
        <f>IFERROR('Data Sheet'!D65-SUM('Data Sheet'!D67:D69),0)</f>
        <v>2645</v>
      </c>
      <c r="E64" s="14">
        <f>IFERROR('Data Sheet'!E65-SUM('Data Sheet'!E67:E69),0)</f>
        <v>3793</v>
      </c>
      <c r="F64" s="14">
        <f>IFERROR('Data Sheet'!F65-SUM('Data Sheet'!F67:F69),0)</f>
        <v>4035</v>
      </c>
      <c r="G64" s="14">
        <f>IFERROR('Data Sheet'!G65-SUM('Data Sheet'!G67:G69),0)</f>
        <v>4021</v>
      </c>
      <c r="H64" s="14">
        <f>IFERROR('Data Sheet'!H65-SUM('Data Sheet'!H67:H69),0)</f>
        <v>4377</v>
      </c>
      <c r="I64" s="14">
        <f>IFERROR('Data Sheet'!I65-SUM('Data Sheet'!I67:I69),0)</f>
        <v>4517</v>
      </c>
      <c r="J64" s="14">
        <f>IFERROR('Data Sheet'!J65-SUM('Data Sheet'!J67:J69),0)</f>
        <v>4921</v>
      </c>
      <c r="K64" s="14">
        <f>IFERROR('Data Sheet'!K65-SUM('Data Sheet'!K67:K69),0)</f>
        <v>5655</v>
      </c>
    </row>
    <row r="65" spans="1:12" x14ac:dyDescent="0.3">
      <c r="B65" s="172" t="s">
        <v>84</v>
      </c>
      <c r="C65" s="172">
        <f>IFERROR(SUM(C61:C64),0)</f>
        <v>10554</v>
      </c>
      <c r="D65" s="172">
        <f t="shared" ref="D65:K65" si="21">IFERROR(SUM(D61:D64),0)</f>
        <v>10482</v>
      </c>
      <c r="E65" s="172">
        <f t="shared" si="21"/>
        <v>11124</v>
      </c>
      <c r="F65" s="172">
        <f t="shared" si="21"/>
        <v>58932</v>
      </c>
      <c r="G65" s="172">
        <f t="shared" si="21"/>
        <v>60328</v>
      </c>
      <c r="H65" s="172">
        <f t="shared" si="21"/>
        <v>61069</v>
      </c>
      <c r="I65" s="172">
        <f t="shared" si="21"/>
        <v>63911</v>
      </c>
      <c r="J65" s="172">
        <f t="shared" si="21"/>
        <v>64075</v>
      </c>
      <c r="K65" s="172">
        <f t="shared" si="21"/>
        <v>68322</v>
      </c>
    </row>
    <row r="66" spans="1:12" x14ac:dyDescent="0.3">
      <c r="B66" s="2"/>
      <c r="C66" s="28"/>
      <c r="D66" s="28"/>
      <c r="E66" s="28"/>
      <c r="F66" s="28"/>
      <c r="G66" s="28"/>
      <c r="H66" s="28"/>
      <c r="I66" s="28"/>
      <c r="J66" s="28"/>
      <c r="K66" s="28"/>
    </row>
    <row r="67" spans="1:12" x14ac:dyDescent="0.3">
      <c r="B67" t="s">
        <v>43</v>
      </c>
      <c r="C67" s="14">
        <f>IFERROR('Data Sheet'!C67,0)</f>
        <v>1310</v>
      </c>
      <c r="D67" s="14">
        <f>IFERROR('Data Sheet'!D67,0)</f>
        <v>1816</v>
      </c>
      <c r="E67" s="14">
        <f>IFERROR('Data Sheet'!E67,0)</f>
        <v>1149</v>
      </c>
      <c r="F67" s="14">
        <f>IFERROR('Data Sheet'!F67,0)</f>
        <v>1758</v>
      </c>
      <c r="G67" s="14">
        <f>IFERROR('Data Sheet'!G67,0)</f>
        <v>2236</v>
      </c>
      <c r="H67" s="14">
        <f>IFERROR('Data Sheet'!H67,0)</f>
        <v>3079</v>
      </c>
      <c r="I67" s="14">
        <f>IFERROR('Data Sheet'!I67,0)</f>
        <v>2997</v>
      </c>
      <c r="J67" s="14">
        <f>IFERROR('Data Sheet'!J67,0)</f>
        <v>3819</v>
      </c>
      <c r="K67" s="14">
        <f>IFERROR('Data Sheet'!K67,0)</f>
        <v>3379</v>
      </c>
    </row>
    <row r="68" spans="1:12" x14ac:dyDescent="0.3">
      <c r="B68" t="s">
        <v>30</v>
      </c>
      <c r="C68" s="14">
        <f>IFERROR('Data Sheet'!C68,0)</f>
        <v>2513</v>
      </c>
      <c r="D68" s="14">
        <f>IFERROR('Data Sheet'!D68,0)</f>
        <v>2574</v>
      </c>
      <c r="E68" s="14">
        <f>IFERROR('Data Sheet'!E68,0)</f>
        <v>2767</v>
      </c>
      <c r="F68" s="14">
        <f>IFERROR('Data Sheet'!F68,0)</f>
        <v>3579</v>
      </c>
      <c r="G68" s="14">
        <f>IFERROR('Data Sheet'!G68,0)</f>
        <v>4096</v>
      </c>
      <c r="H68" s="14">
        <f>IFERROR('Data Sheet'!H68,0)</f>
        <v>4251</v>
      </c>
      <c r="I68" s="14">
        <f>IFERROR('Data Sheet'!I68,0)</f>
        <v>4022</v>
      </c>
      <c r="J68" s="14">
        <f>IFERROR('Data Sheet'!J68,0)</f>
        <v>4415</v>
      </c>
      <c r="K68" s="14">
        <f>IFERROR('Data Sheet'!K68,0)</f>
        <v>4789</v>
      </c>
    </row>
    <row r="69" spans="1:12" x14ac:dyDescent="0.3">
      <c r="B69" t="s">
        <v>52</v>
      </c>
      <c r="C69" s="14">
        <f>IFERROR('Data Sheet'!C69,0)</f>
        <v>3485</v>
      </c>
      <c r="D69" s="14">
        <f>IFERROR('Data Sheet'!D69,0)</f>
        <v>3757</v>
      </c>
      <c r="E69" s="14">
        <f>IFERROR('Data Sheet'!E69,0)</f>
        <v>5113</v>
      </c>
      <c r="F69" s="14">
        <f>IFERROR('Data Sheet'!F69,0)</f>
        <v>4471</v>
      </c>
      <c r="G69" s="14">
        <f>IFERROR('Data Sheet'!G69,0)</f>
        <v>3846</v>
      </c>
      <c r="H69" s="14">
        <f>IFERROR('Data Sheet'!H69,0)</f>
        <v>4678</v>
      </c>
      <c r="I69" s="14">
        <f>IFERROR('Data Sheet'!I69,0)</f>
        <v>7559</v>
      </c>
      <c r="J69" s="14">
        <f>IFERROR('Data Sheet'!J69,0)</f>
        <v>7554</v>
      </c>
      <c r="K69" s="14">
        <f>IFERROR('Data Sheet'!K69,0)</f>
        <v>3248</v>
      </c>
    </row>
    <row r="70" spans="1:12" x14ac:dyDescent="0.3">
      <c r="B70" s="172" t="s">
        <v>85</v>
      </c>
      <c r="C70" s="172">
        <f>IFERROR(SUM(C67:C69),0)</f>
        <v>7308</v>
      </c>
      <c r="D70" s="172">
        <f t="shared" ref="D70:K70" si="22">IFERROR(SUM(D67:D69),0)</f>
        <v>8147</v>
      </c>
      <c r="E70" s="172">
        <f t="shared" si="22"/>
        <v>9029</v>
      </c>
      <c r="F70" s="172">
        <f t="shared" si="22"/>
        <v>9808</v>
      </c>
      <c r="G70" s="172">
        <f t="shared" si="22"/>
        <v>10178</v>
      </c>
      <c r="H70" s="172">
        <f t="shared" si="22"/>
        <v>12008</v>
      </c>
      <c r="I70" s="172">
        <f t="shared" si="22"/>
        <v>14578</v>
      </c>
      <c r="J70" s="172">
        <f t="shared" si="22"/>
        <v>15788</v>
      </c>
      <c r="K70" s="172">
        <f t="shared" si="22"/>
        <v>11416</v>
      </c>
    </row>
    <row r="72" spans="1:12" x14ac:dyDescent="0.3">
      <c r="B72" s="172" t="s">
        <v>273</v>
      </c>
      <c r="C72" s="172">
        <f>IFERROR(SUM(C65,C70),0)</f>
        <v>17862</v>
      </c>
      <c r="D72" s="172">
        <f t="shared" ref="D72:K72" si="23">IFERROR(SUM(D65,D70),0)</f>
        <v>18629</v>
      </c>
      <c r="E72" s="172">
        <f t="shared" si="23"/>
        <v>20153</v>
      </c>
      <c r="F72" s="172">
        <f t="shared" si="23"/>
        <v>68740</v>
      </c>
      <c r="G72" s="172">
        <f t="shared" si="23"/>
        <v>70506</v>
      </c>
      <c r="H72" s="172">
        <f t="shared" si="23"/>
        <v>73077</v>
      </c>
      <c r="I72" s="172">
        <f t="shared" si="23"/>
        <v>78489</v>
      </c>
      <c r="J72" s="172">
        <f t="shared" si="23"/>
        <v>79863</v>
      </c>
      <c r="K72" s="172">
        <f t="shared" si="23"/>
        <v>79738</v>
      </c>
    </row>
    <row r="74" spans="1:12" x14ac:dyDescent="0.3">
      <c r="B74" s="2" t="s">
        <v>86</v>
      </c>
      <c r="C74" t="b">
        <f>C72=C59</f>
        <v>1</v>
      </c>
      <c r="D74" t="b">
        <f t="shared" ref="D74:K74" si="24">D72=D59</f>
        <v>1</v>
      </c>
      <c r="E74" t="b">
        <f t="shared" si="24"/>
        <v>1</v>
      </c>
      <c r="F74" t="b">
        <f t="shared" si="24"/>
        <v>1</v>
      </c>
      <c r="G74" t="b">
        <f t="shared" si="24"/>
        <v>1</v>
      </c>
      <c r="H74" t="b">
        <f t="shared" si="24"/>
        <v>1</v>
      </c>
      <c r="I74" t="b">
        <f t="shared" si="24"/>
        <v>1</v>
      </c>
      <c r="J74" t="b">
        <f t="shared" si="24"/>
        <v>1</v>
      </c>
      <c r="K74" t="b">
        <f t="shared" si="24"/>
        <v>1</v>
      </c>
    </row>
    <row r="76" spans="1:12" x14ac:dyDescent="0.3">
      <c r="A76" t="s">
        <v>58</v>
      </c>
      <c r="B76" s="20" t="s">
        <v>112</v>
      </c>
      <c r="C76" s="21"/>
      <c r="D76" s="21"/>
      <c r="E76" s="21"/>
      <c r="F76" s="21"/>
      <c r="G76" s="21"/>
      <c r="H76" s="21"/>
      <c r="I76" s="21"/>
      <c r="J76" s="21"/>
      <c r="K76" s="21"/>
      <c r="L76" s="236"/>
    </row>
    <row r="77" spans="1:12" x14ac:dyDescent="0.3">
      <c r="B77" s="2" t="s">
        <v>114</v>
      </c>
    </row>
    <row r="78" spans="1:12" x14ac:dyDescent="0.3">
      <c r="B78" t="s">
        <v>87</v>
      </c>
      <c r="C78" s="14">
        <f>'Raw FS'!F46</f>
        <v>7485</v>
      </c>
      <c r="D78" s="14">
        <f>'Raw FS'!G46</f>
        <v>8909</v>
      </c>
      <c r="E78" s="14">
        <f>'Raw FS'!H46</f>
        <v>9723</v>
      </c>
      <c r="F78" s="14">
        <f>'Raw FS'!I46</f>
        <v>11672</v>
      </c>
      <c r="G78" s="14">
        <f>'Raw FS'!J46</f>
        <v>12829</v>
      </c>
      <c r="H78" s="14">
        <f>'Raw FS'!K46</f>
        <v>14089</v>
      </c>
      <c r="I78" s="14">
        <f>'Raw FS'!L46</f>
        <v>14537</v>
      </c>
      <c r="J78" s="14">
        <f>'Raw FS'!M46</f>
        <v>14942</v>
      </c>
      <c r="K78" s="14">
        <f>'Raw FS'!N46</f>
        <v>15153</v>
      </c>
    </row>
    <row r="79" spans="1:12" x14ac:dyDescent="0.3">
      <c r="B79" t="s">
        <v>43</v>
      </c>
      <c r="C79" s="14">
        <f>'Raw FS'!F47</f>
        <v>0</v>
      </c>
      <c r="D79" s="14">
        <f>'Raw FS'!G47</f>
        <v>0</v>
      </c>
      <c r="E79" s="14">
        <f>'Raw FS'!H47</f>
        <v>0</v>
      </c>
      <c r="F79" s="14">
        <f>'Raw FS'!I47</f>
        <v>0</v>
      </c>
      <c r="G79" s="14">
        <f>'Raw FS'!J47</f>
        <v>0</v>
      </c>
      <c r="H79" s="14">
        <f>'Raw FS'!K47</f>
        <v>0</v>
      </c>
      <c r="I79" s="14">
        <f>'Raw FS'!L47</f>
        <v>0</v>
      </c>
      <c r="J79" s="14">
        <f>'Raw FS'!M47</f>
        <v>0</v>
      </c>
      <c r="K79" s="14">
        <f>'Raw FS'!N47</f>
        <v>0</v>
      </c>
    </row>
    <row r="80" spans="1:12" x14ac:dyDescent="0.3">
      <c r="B80" t="s">
        <v>30</v>
      </c>
      <c r="C80" s="14">
        <f>'Raw FS'!F48</f>
        <v>-146</v>
      </c>
      <c r="D80" s="14">
        <f>'Raw FS'!G48</f>
        <v>-195</v>
      </c>
      <c r="E80" s="14">
        <f>'Raw FS'!H48</f>
        <v>-331</v>
      </c>
      <c r="F80" s="14">
        <f>'Raw FS'!I48</f>
        <v>-543</v>
      </c>
      <c r="G80" s="14">
        <f>'Raw FS'!J48</f>
        <v>-758</v>
      </c>
      <c r="H80" s="14">
        <f>'Raw FS'!K48</f>
        <v>-339</v>
      </c>
      <c r="I80" s="14">
        <f>'Raw FS'!L48</f>
        <v>74</v>
      </c>
      <c r="J80" s="14">
        <f>'Raw FS'!M48</f>
        <v>-584</v>
      </c>
      <c r="K80" s="14">
        <f>'Raw FS'!N48</f>
        <v>-692</v>
      </c>
    </row>
    <row r="81" spans="2:11" x14ac:dyDescent="0.3">
      <c r="B81" t="s">
        <v>88</v>
      </c>
      <c r="C81" s="14">
        <f>'Raw FS'!F49</f>
        <v>0</v>
      </c>
      <c r="D81" s="14">
        <f>'Raw FS'!G49</f>
        <v>0</v>
      </c>
      <c r="E81" s="14">
        <f>'Raw FS'!H49</f>
        <v>0</v>
      </c>
      <c r="F81" s="14">
        <f>'Raw FS'!I49</f>
        <v>0</v>
      </c>
      <c r="G81" s="14">
        <f>'Raw FS'!J49</f>
        <v>0</v>
      </c>
      <c r="H81" s="14">
        <f>'Raw FS'!K49</f>
        <v>0</v>
      </c>
      <c r="I81" s="14">
        <f>'Raw FS'!L49</f>
        <v>0</v>
      </c>
      <c r="J81" s="14">
        <f>'Raw FS'!M49</f>
        <v>0</v>
      </c>
      <c r="K81" s="14">
        <f>'Raw FS'!N49</f>
        <v>0</v>
      </c>
    </row>
    <row r="82" spans="2:11" x14ac:dyDescent="0.3">
      <c r="B82" t="s">
        <v>275</v>
      </c>
      <c r="C82" s="14">
        <f>'Raw FS'!F50</f>
        <v>0</v>
      </c>
      <c r="D82" s="14">
        <f>'Raw FS'!G50</f>
        <v>0</v>
      </c>
      <c r="E82" s="14">
        <f>'Raw FS'!H50</f>
        <v>0</v>
      </c>
      <c r="F82" s="14">
        <f>'Raw FS'!I50</f>
        <v>0</v>
      </c>
      <c r="G82" s="14">
        <f>'Raw FS'!J50</f>
        <v>0</v>
      </c>
      <c r="H82" s="14">
        <f>'Raw FS'!K50</f>
        <v>0</v>
      </c>
      <c r="I82" s="14">
        <f>'Raw FS'!L50</f>
        <v>0</v>
      </c>
      <c r="J82" s="14">
        <f>'Raw FS'!M50</f>
        <v>0</v>
      </c>
      <c r="K82" s="14">
        <f>'Raw FS'!N50</f>
        <v>0</v>
      </c>
    </row>
    <row r="83" spans="2:11" x14ac:dyDescent="0.3">
      <c r="B83" t="s">
        <v>276</v>
      </c>
      <c r="C83" s="14">
        <f>'Raw FS'!F51</f>
        <v>0</v>
      </c>
      <c r="D83" s="14">
        <f>'Raw FS'!G51</f>
        <v>0</v>
      </c>
      <c r="E83" s="14">
        <f>'Raw FS'!H51</f>
        <v>0</v>
      </c>
      <c r="F83" s="14">
        <f>'Raw FS'!I51</f>
        <v>0</v>
      </c>
      <c r="G83" s="14">
        <f>'Raw FS'!J51</f>
        <v>0</v>
      </c>
      <c r="H83" s="14">
        <f>'Raw FS'!K51</f>
        <v>0</v>
      </c>
      <c r="I83" s="14">
        <f>'Raw FS'!L51</f>
        <v>0</v>
      </c>
      <c r="J83" s="14">
        <f>'Raw FS'!M51</f>
        <v>0</v>
      </c>
      <c r="K83" s="14">
        <f>'Raw FS'!N51</f>
        <v>0</v>
      </c>
    </row>
    <row r="84" spans="2:11" x14ac:dyDescent="0.3">
      <c r="B84" t="s">
        <v>89</v>
      </c>
      <c r="C84" s="14">
        <f>'Raw FS'!F52</f>
        <v>982</v>
      </c>
      <c r="D84" s="14">
        <f>'Raw FS'!G52</f>
        <v>-147</v>
      </c>
      <c r="E84" s="14">
        <f>'Raw FS'!H52</f>
        <v>742</v>
      </c>
      <c r="F84" s="14">
        <f>'Raw FS'!I52</f>
        <v>442</v>
      </c>
      <c r="G84" s="14">
        <f>'Raw FS'!J52</f>
        <v>-242</v>
      </c>
      <c r="H84" s="14">
        <f>'Raw FS'!K52</f>
        <v>-621</v>
      </c>
      <c r="I84" s="14">
        <f>'Raw FS'!L52</f>
        <v>1239</v>
      </c>
      <c r="J84" s="14">
        <f>'Raw FS'!M52</f>
        <v>-204</v>
      </c>
      <c r="K84" s="14">
        <f>'Raw FS'!N52</f>
        <v>1378</v>
      </c>
    </row>
    <row r="85" spans="2:11" x14ac:dyDescent="0.3">
      <c r="B85" t="s">
        <v>90</v>
      </c>
      <c r="C85" s="14">
        <f>'Raw FS'!F53</f>
        <v>836</v>
      </c>
      <c r="D85" s="14">
        <f>'Raw FS'!G53</f>
        <v>-342</v>
      </c>
      <c r="E85" s="14">
        <f>'Raw FS'!H53</f>
        <v>411</v>
      </c>
      <c r="F85" s="14">
        <f>'Raw FS'!I53</f>
        <v>-101</v>
      </c>
      <c r="G85" s="14">
        <f>'Raw FS'!J53</f>
        <v>-1000</v>
      </c>
      <c r="H85" s="14">
        <f>'Raw FS'!K53</f>
        <v>-960</v>
      </c>
      <c r="I85" s="14">
        <f>'Raw FS'!L53</f>
        <v>1313</v>
      </c>
      <c r="J85" s="14">
        <f>'Raw FS'!M53</f>
        <v>-788</v>
      </c>
      <c r="K85" s="14">
        <f>'Raw FS'!N53</f>
        <v>686</v>
      </c>
    </row>
    <row r="86" spans="2:11" x14ac:dyDescent="0.3">
      <c r="B86" t="s">
        <v>91</v>
      </c>
      <c r="C86" s="14">
        <f>'Raw FS'!F54</f>
        <v>-2264</v>
      </c>
      <c r="D86" s="14">
        <f>'Raw FS'!G54</f>
        <v>-2767</v>
      </c>
      <c r="E86" s="14">
        <f>'Raw FS'!H54</f>
        <v>-2505</v>
      </c>
      <c r="F86" s="14">
        <f>'Raw FS'!I54</f>
        <v>-2407</v>
      </c>
      <c r="G86" s="14">
        <f>'Raw FS'!J54</f>
        <v>-2784</v>
      </c>
      <c r="H86" s="14">
        <f>'Raw FS'!K54</f>
        <v>-3138</v>
      </c>
      <c r="I86" s="14">
        <f>'Raw FS'!L54</f>
        <v>-381</v>
      </c>
      <c r="J86" s="14">
        <f>'Raw FS'!M54</f>
        <v>-2268</v>
      </c>
      <c r="K86" s="14">
        <f>'Raw FS'!N54</f>
        <v>-4840</v>
      </c>
    </row>
    <row r="87" spans="2:11" x14ac:dyDescent="0.3">
      <c r="B87" t="s">
        <v>92</v>
      </c>
      <c r="C87" s="14">
        <f>'Raw FS'!F55</f>
        <v>0</v>
      </c>
      <c r="D87" s="14">
        <f>'Raw FS'!G55</f>
        <v>0</v>
      </c>
      <c r="E87" s="14">
        <f>'Raw FS'!H55</f>
        <v>0</v>
      </c>
      <c r="F87" s="14">
        <f>'Raw FS'!I55</f>
        <v>0</v>
      </c>
      <c r="G87" s="14">
        <f>'Raw FS'!J55</f>
        <v>0</v>
      </c>
      <c r="H87" s="14">
        <f>'Raw FS'!K55</f>
        <v>0</v>
      </c>
      <c r="I87" s="14">
        <f>'Raw FS'!L55</f>
        <v>0</v>
      </c>
      <c r="J87" s="14">
        <f>'Raw FS'!M55</f>
        <v>0</v>
      </c>
      <c r="K87" s="14">
        <f>'Raw FS'!N55</f>
        <v>0</v>
      </c>
    </row>
    <row r="88" spans="2:11" x14ac:dyDescent="0.3">
      <c r="B88" t="s">
        <v>277</v>
      </c>
      <c r="C88" s="14">
        <f>'Raw FS'!F56</f>
        <v>2</v>
      </c>
      <c r="D88" s="14">
        <f>'Raw FS'!G56</f>
        <v>0</v>
      </c>
      <c r="E88" s="14">
        <f>'Raw FS'!H56</f>
        <v>-6</v>
      </c>
      <c r="F88" s="14">
        <f>'Raw FS'!I56</f>
        <v>-1</v>
      </c>
      <c r="G88" s="14">
        <f>'Raw FS'!J56</f>
        <v>3</v>
      </c>
      <c r="H88" s="14">
        <f>'Raw FS'!K56</f>
        <v>0</v>
      </c>
      <c r="I88" s="14">
        <f>'Raw FS'!L56</f>
        <v>0</v>
      </c>
      <c r="J88" s="14">
        <f>'Raw FS'!M56</f>
        <v>0</v>
      </c>
      <c r="K88" s="14">
        <f>'Raw FS'!N56</f>
        <v>0</v>
      </c>
    </row>
    <row r="89" spans="2:11" x14ac:dyDescent="0.3">
      <c r="B89" s="172" t="s">
        <v>113</v>
      </c>
      <c r="C89" s="172">
        <f>IFERROR(SUM(C78:C88),0)</f>
        <v>6895</v>
      </c>
      <c r="D89" s="172">
        <f t="shared" ref="D89:K89" si="25">IFERROR(SUM(D78:D88),0)</f>
        <v>5458</v>
      </c>
      <c r="E89" s="172">
        <f t="shared" si="25"/>
        <v>8034</v>
      </c>
      <c r="F89" s="172">
        <f t="shared" si="25"/>
        <v>9062</v>
      </c>
      <c r="G89" s="172">
        <f t="shared" si="25"/>
        <v>8048</v>
      </c>
      <c r="H89" s="172">
        <f t="shared" si="25"/>
        <v>9031</v>
      </c>
      <c r="I89" s="172">
        <f t="shared" si="25"/>
        <v>16782</v>
      </c>
      <c r="J89" s="172">
        <f t="shared" si="25"/>
        <v>11098</v>
      </c>
      <c r="K89" s="172">
        <f t="shared" si="25"/>
        <v>11685</v>
      </c>
    </row>
    <row r="91" spans="2:11" x14ac:dyDescent="0.3">
      <c r="B91" s="2" t="s">
        <v>115</v>
      </c>
    </row>
    <row r="92" spans="2:11" x14ac:dyDescent="0.3">
      <c r="B92" t="s">
        <v>93</v>
      </c>
      <c r="C92" s="14">
        <f>'Raw FS'!F58</f>
        <v>-895</v>
      </c>
      <c r="D92" s="14">
        <f>'Raw FS'!G58</f>
        <v>-767</v>
      </c>
      <c r="E92" s="14">
        <f>'Raw FS'!H58</f>
        <v>-862</v>
      </c>
      <c r="F92" s="14">
        <f>'Raw FS'!I58</f>
        <v>-4163</v>
      </c>
      <c r="G92" s="14">
        <f>'Raw FS'!J58</f>
        <v>-1228</v>
      </c>
      <c r="H92" s="14">
        <f>'Raw FS'!K58</f>
        <v>-1192</v>
      </c>
      <c r="I92" s="14">
        <f>'Raw FS'!L58</f>
        <v>-1477</v>
      </c>
      <c r="J92" s="14">
        <f>'Raw FS'!M58</f>
        <v>-1275</v>
      </c>
      <c r="K92" s="14">
        <f>'Raw FS'!N58</f>
        <v>-1361</v>
      </c>
    </row>
    <row r="93" spans="2:11" x14ac:dyDescent="0.3">
      <c r="B93" t="s">
        <v>94</v>
      </c>
      <c r="C93" s="14">
        <f>'Raw FS'!F59</f>
        <v>32</v>
      </c>
      <c r="D93" s="14">
        <f>'Raw FS'!G59</f>
        <v>13</v>
      </c>
      <c r="E93" s="14">
        <f>'Raw FS'!H59</f>
        <v>52</v>
      </c>
      <c r="F93" s="14">
        <f>'Raw FS'!I59</f>
        <v>97</v>
      </c>
      <c r="G93" s="14">
        <f>'Raw FS'!J59</f>
        <v>175</v>
      </c>
      <c r="H93" s="14">
        <f>'Raw FS'!K59</f>
        <v>181</v>
      </c>
      <c r="I93" s="14">
        <f>'Raw FS'!L59</f>
        <v>20</v>
      </c>
      <c r="J93" s="14">
        <f>'Raw FS'!M59</f>
        <v>13</v>
      </c>
      <c r="K93" s="14">
        <f>'Raw FS'!N59</f>
        <v>29</v>
      </c>
    </row>
    <row r="94" spans="2:11" x14ac:dyDescent="0.3">
      <c r="B94" t="s">
        <v>95</v>
      </c>
      <c r="C94" s="14">
        <f>'Raw FS'!F60</f>
        <v>-51855</v>
      </c>
      <c r="D94" s="14">
        <f>'Raw FS'!G60</f>
        <v>-74365</v>
      </c>
      <c r="E94" s="14">
        <f>'Raw FS'!H60</f>
        <v>-36090</v>
      </c>
      <c r="F94" s="14">
        <f>'Raw FS'!I60</f>
        <v>-39920</v>
      </c>
      <c r="G94" s="14">
        <f>'Raw FS'!J60</f>
        <v>-48522</v>
      </c>
      <c r="H94" s="14">
        <f>'Raw FS'!K60</f>
        <v>-22649</v>
      </c>
      <c r="I94" s="14">
        <f>'Raw FS'!L60</f>
        <v>-21337</v>
      </c>
      <c r="J94" s="14">
        <f>'Raw FS'!M60</f>
        <v>-22957</v>
      </c>
      <c r="K94" s="14">
        <f>'Raw FS'!N60</f>
        <v>-25529</v>
      </c>
    </row>
    <row r="95" spans="2:11" x14ac:dyDescent="0.3">
      <c r="B95" t="s">
        <v>96</v>
      </c>
      <c r="C95" s="14">
        <f>'Raw FS'!F61</f>
        <v>52897</v>
      </c>
      <c r="D95" s="14">
        <f>'Raw FS'!G61</f>
        <v>74691</v>
      </c>
      <c r="E95" s="14">
        <f>'Raw FS'!H61</f>
        <v>37690</v>
      </c>
      <c r="F95" s="14">
        <f>'Raw FS'!I61</f>
        <v>38486</v>
      </c>
      <c r="G95" s="14">
        <f>'Raw FS'!J61</f>
        <v>47786</v>
      </c>
      <c r="H95" s="14">
        <f>'Raw FS'!K61</f>
        <v>23462</v>
      </c>
      <c r="I95" s="14">
        <f>'Raw FS'!L61</f>
        <v>19846</v>
      </c>
      <c r="J95" s="14">
        <f>'Raw FS'!M61</f>
        <v>23987</v>
      </c>
      <c r="K95" s="14">
        <f>'Raw FS'!N61</f>
        <v>25117</v>
      </c>
    </row>
    <row r="96" spans="2:11" x14ac:dyDescent="0.3">
      <c r="B96" t="s">
        <v>97</v>
      </c>
      <c r="C96" s="14">
        <f>'Raw FS'!F62</f>
        <v>297</v>
      </c>
      <c r="D96" s="14">
        <f>'Raw FS'!G62</f>
        <v>289</v>
      </c>
      <c r="E96" s="14">
        <f>'Raw FS'!H62</f>
        <v>351</v>
      </c>
      <c r="F96" s="14">
        <f>'Raw FS'!I62</f>
        <v>277</v>
      </c>
      <c r="G96" s="14">
        <f>'Raw FS'!J62</f>
        <v>161</v>
      </c>
      <c r="H96" s="14">
        <f>'Raw FS'!K62</f>
        <v>259</v>
      </c>
      <c r="I96" s="14">
        <f>'Raw FS'!L62</f>
        <v>425</v>
      </c>
      <c r="J96" s="14">
        <f>'Raw FS'!M62</f>
        <v>835</v>
      </c>
      <c r="K96" s="14">
        <f>'Raw FS'!N62</f>
        <v>428</v>
      </c>
    </row>
    <row r="97" spans="2:11" x14ac:dyDescent="0.3">
      <c r="B97" t="s">
        <v>278</v>
      </c>
      <c r="C97" s="14">
        <f>'Raw FS'!F63</f>
        <v>0</v>
      </c>
      <c r="D97" s="14">
        <f>'Raw FS'!G63</f>
        <v>1</v>
      </c>
      <c r="E97" s="14">
        <f>'Raw FS'!H63</f>
        <v>1</v>
      </c>
      <c r="F97" s="14">
        <f>'Raw FS'!I63</f>
        <v>1</v>
      </c>
      <c r="G97" s="14">
        <f>'Raw FS'!J63</f>
        <v>1</v>
      </c>
      <c r="H97" s="14">
        <f>'Raw FS'!K63</f>
        <v>2</v>
      </c>
      <c r="I97" s="14">
        <f>'Raw FS'!L63</f>
        <v>3</v>
      </c>
      <c r="J97" s="14">
        <f>'Raw FS'!M63</f>
        <v>0</v>
      </c>
      <c r="K97" s="14">
        <f>'Raw FS'!N63</f>
        <v>5</v>
      </c>
    </row>
    <row r="98" spans="2:11" x14ac:dyDescent="0.3">
      <c r="B98" t="s">
        <v>98</v>
      </c>
      <c r="C98" s="14">
        <f>'Raw FS'!F64</f>
        <v>73</v>
      </c>
      <c r="D98" s="14">
        <f>'Raw FS'!G64</f>
        <v>0</v>
      </c>
      <c r="E98" s="14">
        <f>'Raw FS'!H64</f>
        <v>0</v>
      </c>
      <c r="F98" s="14">
        <f>'Raw FS'!I64</f>
        <v>0</v>
      </c>
      <c r="G98" s="14">
        <f>'Raw FS'!J64</f>
        <v>0</v>
      </c>
      <c r="H98" s="14">
        <f>'Raw FS'!K64</f>
        <v>0</v>
      </c>
      <c r="I98" s="14">
        <f>'Raw FS'!L64</f>
        <v>0</v>
      </c>
      <c r="J98" s="14">
        <f>'Raw FS'!M64</f>
        <v>0</v>
      </c>
      <c r="K98" s="14">
        <f>'Raw FS'!N64</f>
        <v>298</v>
      </c>
    </row>
    <row r="99" spans="2:11" x14ac:dyDescent="0.3">
      <c r="B99" t="s">
        <v>99</v>
      </c>
      <c r="C99" s="14">
        <f>'Raw FS'!F65</f>
        <v>0</v>
      </c>
      <c r="D99" s="14">
        <f>'Raw FS'!G65</f>
        <v>0</v>
      </c>
      <c r="E99" s="14">
        <f>'Raw FS'!H65</f>
        <v>0</v>
      </c>
      <c r="F99" s="14">
        <f>'Raw FS'!I65</f>
        <v>0</v>
      </c>
      <c r="G99" s="14">
        <f>'Raw FS'!J65</f>
        <v>0</v>
      </c>
      <c r="H99" s="14">
        <f>'Raw FS'!K65</f>
        <v>-334</v>
      </c>
      <c r="I99" s="14">
        <f>'Raw FS'!L65</f>
        <v>0</v>
      </c>
      <c r="J99" s="14">
        <f>'Raw FS'!M65</f>
        <v>0</v>
      </c>
      <c r="K99" s="14">
        <f>'Raw FS'!N65</f>
        <v>0</v>
      </c>
    </row>
    <row r="100" spans="2:11" x14ac:dyDescent="0.3">
      <c r="B100" t="s">
        <v>100</v>
      </c>
      <c r="C100" s="14">
        <f>'Raw FS'!F66</f>
        <v>-1612</v>
      </c>
      <c r="D100" s="14">
        <f>'Raw FS'!G66</f>
        <v>-300</v>
      </c>
      <c r="E100" s="14">
        <f>'Raw FS'!H66</f>
        <v>649</v>
      </c>
      <c r="F100" s="14">
        <f>'Raw FS'!I66</f>
        <v>3994</v>
      </c>
      <c r="G100" s="14">
        <f>'Raw FS'!J66</f>
        <v>-101</v>
      </c>
      <c r="H100" s="14">
        <f>'Raw FS'!K66</f>
        <v>-1213</v>
      </c>
      <c r="I100" s="14">
        <f>'Raw FS'!L66</f>
        <v>-2804</v>
      </c>
      <c r="J100" s="14">
        <f>'Raw FS'!M66</f>
        <v>5870</v>
      </c>
      <c r="K100" s="14">
        <f>'Raw FS'!N66</f>
        <v>-2663</v>
      </c>
    </row>
    <row r="101" spans="2:11" x14ac:dyDescent="0.3">
      <c r="B101" s="172" t="s">
        <v>116</v>
      </c>
      <c r="C101" s="172">
        <f>IFERROR(SUM(C92:C100),0)</f>
        <v>-1063</v>
      </c>
      <c r="D101" s="172">
        <f t="shared" ref="D101:K101" si="26">IFERROR(SUM(D92:D100),0)</f>
        <v>-438</v>
      </c>
      <c r="E101" s="172">
        <f t="shared" si="26"/>
        <v>1791</v>
      </c>
      <c r="F101" s="172">
        <f t="shared" si="26"/>
        <v>-1228</v>
      </c>
      <c r="G101" s="172">
        <f t="shared" si="26"/>
        <v>-1728</v>
      </c>
      <c r="H101" s="172">
        <f t="shared" si="26"/>
        <v>-1484</v>
      </c>
      <c r="I101" s="172">
        <f t="shared" si="26"/>
        <v>-5324</v>
      </c>
      <c r="J101" s="172">
        <f t="shared" si="26"/>
        <v>6473</v>
      </c>
      <c r="K101" s="172">
        <f t="shared" si="26"/>
        <v>-3676</v>
      </c>
    </row>
    <row r="103" spans="2:11" x14ac:dyDescent="0.3">
      <c r="B103" s="2" t="s">
        <v>117</v>
      </c>
    </row>
    <row r="104" spans="2:11" x14ac:dyDescent="0.3">
      <c r="B104" t="s">
        <v>101</v>
      </c>
      <c r="C104" s="14">
        <f>'Raw FS'!F68</f>
        <v>0</v>
      </c>
      <c r="D104" s="14">
        <f>'Raw FS'!G68</f>
        <v>0</v>
      </c>
      <c r="E104" s="14">
        <f>'Raw FS'!H68</f>
        <v>0</v>
      </c>
      <c r="F104" s="14">
        <f>'Raw FS'!I68</f>
        <v>0</v>
      </c>
      <c r="G104" s="14">
        <f>'Raw FS'!J68</f>
        <v>0</v>
      </c>
      <c r="H104" s="14">
        <f>'Raw FS'!K68</f>
        <v>0</v>
      </c>
      <c r="I104" s="14">
        <f>'Raw FS'!L68</f>
        <v>0</v>
      </c>
      <c r="J104" s="14">
        <f>'Raw FS'!M68</f>
        <v>0</v>
      </c>
      <c r="K104" s="14">
        <f>'Raw FS'!N68</f>
        <v>0</v>
      </c>
    </row>
    <row r="105" spans="2:11" x14ac:dyDescent="0.3">
      <c r="B105" t="s">
        <v>102</v>
      </c>
      <c r="C105" s="14">
        <f>'Raw FS'!F69</f>
        <v>0</v>
      </c>
      <c r="D105" s="14">
        <f>'Raw FS'!G69</f>
        <v>99</v>
      </c>
      <c r="E105" s="14">
        <f>'Raw FS'!H69</f>
        <v>0</v>
      </c>
      <c r="F105" s="14">
        <f>'Raw FS'!I69</f>
        <v>188</v>
      </c>
      <c r="G105" s="14">
        <f>'Raw FS'!J69</f>
        <v>55</v>
      </c>
      <c r="H105" s="14">
        <f>'Raw FS'!K69</f>
        <v>286</v>
      </c>
      <c r="I105" s="14">
        <f>'Raw FS'!L69</f>
        <v>0</v>
      </c>
      <c r="J105" s="14">
        <f>'Raw FS'!M69</f>
        <v>0</v>
      </c>
      <c r="K105" s="14">
        <f>'Raw FS'!N69</f>
        <v>0</v>
      </c>
    </row>
    <row r="106" spans="2:11" x14ac:dyDescent="0.3">
      <c r="B106" t="s">
        <v>103</v>
      </c>
      <c r="C106" s="14">
        <f>'Raw FS'!F70</f>
        <v>-277</v>
      </c>
      <c r="D106" s="14">
        <f>'Raw FS'!G70</f>
        <v>0</v>
      </c>
      <c r="E106" s="14">
        <f>'Raw FS'!H70</f>
        <v>-99</v>
      </c>
      <c r="F106" s="14">
        <f>'Raw FS'!I70</f>
        <v>-188</v>
      </c>
      <c r="G106" s="14">
        <f>'Raw FS'!J70</f>
        <v>-55</v>
      </c>
      <c r="H106" s="14">
        <f>'Raw FS'!K70</f>
        <v>-208</v>
      </c>
      <c r="I106" s="14">
        <f>'Raw FS'!L70</f>
        <v>-85</v>
      </c>
      <c r="J106" s="14">
        <f>'Raw FS'!M70</f>
        <v>0</v>
      </c>
      <c r="K106" s="14">
        <f>'Raw FS'!N70</f>
        <v>-46</v>
      </c>
    </row>
    <row r="107" spans="2:11" x14ac:dyDescent="0.3">
      <c r="B107" t="s">
        <v>104</v>
      </c>
      <c r="C107" s="14">
        <f>'Raw FS'!F71</f>
        <v>-6</v>
      </c>
      <c r="D107" s="14">
        <f>'Raw FS'!G71</f>
        <v>-7</v>
      </c>
      <c r="E107" s="14">
        <f>'Raw FS'!H71</f>
        <v>-90</v>
      </c>
      <c r="F107" s="14">
        <f>'Raw FS'!I71</f>
        <v>-92</v>
      </c>
      <c r="G107" s="14">
        <f>'Raw FS'!J71</f>
        <v>-82</v>
      </c>
      <c r="H107" s="14">
        <f>'Raw FS'!K71</f>
        <v>-88</v>
      </c>
      <c r="I107" s="14">
        <f>'Raw FS'!L71</f>
        <v>-110</v>
      </c>
      <c r="J107" s="14">
        <f>'Raw FS'!M71</f>
        <v>-130</v>
      </c>
      <c r="K107" s="14">
        <f>'Raw FS'!N71</f>
        <v>-133</v>
      </c>
    </row>
    <row r="108" spans="2:11" x14ac:dyDescent="0.3">
      <c r="B108" t="s">
        <v>279</v>
      </c>
      <c r="C108" s="14">
        <f>'Raw FS'!F72</f>
        <v>-3911</v>
      </c>
      <c r="D108" s="14">
        <f>'Raw FS'!G72</f>
        <v>-4554</v>
      </c>
      <c r="E108" s="14">
        <f>'Raw FS'!H72</f>
        <v>-5196</v>
      </c>
      <c r="F108" s="14">
        <f>'Raw FS'!I72</f>
        <v>-8811</v>
      </c>
      <c r="G108" s="14">
        <f>'Raw FS'!J72</f>
        <v>-7526</v>
      </c>
      <c r="H108" s="14">
        <f>'Raw FS'!K72</f>
        <v>-8474</v>
      </c>
      <c r="I108" s="14">
        <f>'Raw FS'!L72</f>
        <v>-9416</v>
      </c>
      <c r="J108" s="14">
        <f>'Raw FS'!M72</f>
        <v>-12473</v>
      </c>
      <c r="K108" s="14">
        <f>'Raw FS'!N72</f>
        <v>-10124</v>
      </c>
    </row>
    <row r="109" spans="2:11" x14ac:dyDescent="0.3">
      <c r="B109" t="s">
        <v>105</v>
      </c>
      <c r="C109" s="14">
        <f>'Raw FS'!F73</f>
        <v>0</v>
      </c>
      <c r="D109" s="14">
        <f>'Raw FS'!G73</f>
        <v>0</v>
      </c>
      <c r="E109" s="14">
        <f>'Raw FS'!H73</f>
        <v>-373</v>
      </c>
      <c r="F109" s="14">
        <f>'Raw FS'!I73</f>
        <v>-406</v>
      </c>
      <c r="G109" s="14">
        <f>'Raw FS'!J73</f>
        <v>-407</v>
      </c>
      <c r="H109" s="14">
        <f>'Raw FS'!K73</f>
        <v>-467</v>
      </c>
      <c r="I109" s="14">
        <f>'Raw FS'!L73</f>
        <v>-423</v>
      </c>
      <c r="J109" s="14">
        <f>'Raw FS'!M73</f>
        <v>-498</v>
      </c>
      <c r="K109" s="14">
        <f>'Raw FS'!N73</f>
        <v>-507</v>
      </c>
    </row>
    <row r="110" spans="2:11" x14ac:dyDescent="0.3">
      <c r="B110" t="s">
        <v>106</v>
      </c>
      <c r="C110" s="14">
        <f>'Raw FS'!F74</f>
        <v>-781</v>
      </c>
      <c r="D110" s="14">
        <f>'Raw FS'!G74</f>
        <v>-928</v>
      </c>
      <c r="E110" s="14">
        <f>'Raw FS'!H74</f>
        <v>-1061</v>
      </c>
      <c r="F110" s="14">
        <f>'Raw FS'!I74</f>
        <v>0</v>
      </c>
      <c r="G110" s="14">
        <f>'Raw FS'!J74</f>
        <v>0</v>
      </c>
      <c r="H110" s="14">
        <f>'Raw FS'!K74</f>
        <v>-2</v>
      </c>
      <c r="I110" s="14">
        <f>'Raw FS'!L74</f>
        <v>0</v>
      </c>
      <c r="J110" s="14">
        <f>'Raw FS'!M74</f>
        <v>0</v>
      </c>
      <c r="K110" s="14">
        <f>'Raw FS'!N74</f>
        <v>0</v>
      </c>
    </row>
    <row r="111" spans="2:11" x14ac:dyDescent="0.3">
      <c r="B111" s="172" t="s">
        <v>118</v>
      </c>
      <c r="C111" s="172">
        <f>IFERROR(SUM(C104:C110),0)</f>
        <v>-4975</v>
      </c>
      <c r="D111" s="172">
        <f t="shared" ref="D111:K111" si="27">IFERROR(SUM(D104:D110),0)</f>
        <v>-5390</v>
      </c>
      <c r="E111" s="172">
        <f t="shared" si="27"/>
        <v>-6819</v>
      </c>
      <c r="F111" s="172">
        <f t="shared" si="27"/>
        <v>-9309</v>
      </c>
      <c r="G111" s="172">
        <f t="shared" si="27"/>
        <v>-8015</v>
      </c>
      <c r="H111" s="172">
        <f t="shared" si="27"/>
        <v>-8953</v>
      </c>
      <c r="I111" s="172">
        <f t="shared" si="27"/>
        <v>-10034</v>
      </c>
      <c r="J111" s="172">
        <f t="shared" si="27"/>
        <v>-13101</v>
      </c>
      <c r="K111" s="172">
        <f t="shared" si="27"/>
        <v>-10810</v>
      </c>
    </row>
    <row r="112" spans="2:11" x14ac:dyDescent="0.3">
      <c r="B112" s="2"/>
      <c r="C112" s="28"/>
      <c r="D112" s="28"/>
      <c r="E112" s="28"/>
      <c r="F112" s="28"/>
      <c r="G112" s="28"/>
      <c r="H112" s="28"/>
      <c r="I112" s="28"/>
      <c r="J112" s="28"/>
      <c r="K112" s="28"/>
    </row>
    <row r="113" spans="2:11" ht="15" thickBot="1" x14ac:dyDescent="0.35">
      <c r="B113" s="97" t="s">
        <v>21</v>
      </c>
      <c r="C113" s="173">
        <f>IFERROR(SUM(C89,C101,C111),0)</f>
        <v>857</v>
      </c>
      <c r="D113" s="173">
        <f t="shared" ref="D113:K113" si="28">IFERROR(SUM(D89,D101,D111),0)</f>
        <v>-370</v>
      </c>
      <c r="E113" s="173">
        <f t="shared" si="28"/>
        <v>3006</v>
      </c>
      <c r="F113" s="173">
        <f t="shared" si="28"/>
        <v>-1475</v>
      </c>
      <c r="G113" s="173">
        <f t="shared" si="28"/>
        <v>-1695</v>
      </c>
      <c r="H113" s="173">
        <f t="shared" si="28"/>
        <v>-1406</v>
      </c>
      <c r="I113" s="173">
        <f t="shared" si="28"/>
        <v>1424</v>
      </c>
      <c r="J113" s="173">
        <f t="shared" si="28"/>
        <v>4470</v>
      </c>
      <c r="K113" s="173">
        <f t="shared" si="28"/>
        <v>-2801</v>
      </c>
    </row>
  </sheetData>
  <mergeCells count="1">
    <mergeCell ref="B2:L2"/>
  </mergeCells>
  <pageMargins left="0.7" right="0.7" top="0.75" bottom="0.75" header="0.3" footer="0.3"/>
  <pageSetup paperSize="9" scale="58" fitToHeight="0" orientation="portrait" r:id="rId1"/>
  <ignoredErrors>
    <ignoredError sqref="L6 C15:K15 L9 L33 L21 L2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DE43-2707-4AB1-B809-2D64B6A89962}">
  <sheetPr>
    <pageSetUpPr fitToPage="1"/>
  </sheetPr>
  <dimension ref="B2:N40"/>
  <sheetViews>
    <sheetView showGridLines="0" topLeftCell="A16" workbookViewId="0">
      <selection sqref="A1:N41"/>
    </sheetView>
  </sheetViews>
  <sheetFormatPr defaultRowHeight="14.4" x14ac:dyDescent="0.3"/>
  <cols>
    <col min="1" max="1" width="1.88671875" customWidth="1"/>
    <col min="2" max="2" width="26.77734375" bestFit="1" customWidth="1"/>
    <col min="3" max="4" width="8.109375" bestFit="1" customWidth="1"/>
    <col min="5" max="5" width="9.109375" bestFit="1" customWidth="1"/>
    <col min="6" max="8" width="8.109375" bestFit="1" customWidth="1"/>
    <col min="9" max="9" width="9.109375" bestFit="1" customWidth="1"/>
    <col min="10" max="10" width="8.109375" bestFit="1" customWidth="1"/>
    <col min="11" max="11" width="7.109375" bestFit="1" customWidth="1"/>
    <col min="12" max="12" width="5.88671875" bestFit="1" customWidth="1"/>
    <col min="13" max="14" width="8.109375" bestFit="1" customWidth="1"/>
  </cols>
  <sheetData>
    <row r="2" spans="2:14" x14ac:dyDescent="0.3">
      <c r="B2" s="271" t="str">
        <f>"Ratio Analysis - "&amp;'Data Sheet'!B1</f>
        <v>Ratio Analysis - HINDUSTAN UNILEVER LTD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</row>
    <row r="3" spans="2:14" x14ac:dyDescent="0.3">
      <c r="B3" s="12" t="s">
        <v>55</v>
      </c>
      <c r="C3" s="13">
        <f>'Data Sheet'!C16</f>
        <v>43190</v>
      </c>
      <c r="D3" s="13">
        <f>'Data Sheet'!D16</f>
        <v>43555</v>
      </c>
      <c r="E3" s="13">
        <f>'Data Sheet'!E16</f>
        <v>43921</v>
      </c>
      <c r="F3" s="13">
        <f>'Data Sheet'!F16</f>
        <v>44286</v>
      </c>
      <c r="G3" s="13">
        <f>'Data Sheet'!G16</f>
        <v>44651</v>
      </c>
      <c r="H3" s="13">
        <f>'Data Sheet'!H16</f>
        <v>45016</v>
      </c>
      <c r="I3" s="13">
        <f>'Data Sheet'!I16</f>
        <v>45382</v>
      </c>
      <c r="J3" s="13">
        <f>'Data Sheet'!J16</f>
        <v>45747</v>
      </c>
      <c r="K3" s="13">
        <f>'Data Sheet'!K16</f>
        <v>46112</v>
      </c>
      <c r="L3" s="155" t="s">
        <v>303</v>
      </c>
      <c r="M3" s="13" t="s">
        <v>304</v>
      </c>
      <c r="N3" s="13" t="s">
        <v>135</v>
      </c>
    </row>
    <row r="5" spans="2:14" x14ac:dyDescent="0.3">
      <c r="B5" s="156" t="s">
        <v>305</v>
      </c>
      <c r="C5" s="157"/>
      <c r="D5" s="157">
        <f>HistoricalFS!D7</f>
        <v>0.1059220706147137</v>
      </c>
      <c r="E5" s="157">
        <f>HistoricalFS!E7</f>
        <v>1.2032561689137689E-2</v>
      </c>
      <c r="F5" s="157">
        <f>HistoricalFS!F7</f>
        <v>0.18211296282331646</v>
      </c>
      <c r="G5" s="157">
        <f>HistoricalFS!G7</f>
        <v>0.11520796121459553</v>
      </c>
      <c r="H5" s="157">
        <f>HistoricalFS!H7</f>
        <v>0.15509285741524614</v>
      </c>
      <c r="I5" s="157">
        <f>HistoricalFS!I7</f>
        <v>2.1723341036645749E-2</v>
      </c>
      <c r="J5" s="157">
        <f>HistoricalFS!J7</f>
        <v>-9.1766834690448773E-3</v>
      </c>
      <c r="K5" s="157">
        <f>HistoricalFS!K7</f>
        <v>5.1200104356900589E-2</v>
      </c>
      <c r="L5" s="156"/>
      <c r="M5" s="157">
        <f>IFERROR(AVERAGE(D5:K5),0)</f>
        <v>7.9264396960188874E-2</v>
      </c>
      <c r="N5" s="157">
        <f>IFERROR(MEDIAN(C5:K5),0)</f>
        <v>7.8561087485807146E-2</v>
      </c>
    </row>
    <row r="6" spans="2:14" x14ac:dyDescent="0.3">
      <c r="B6" t="s">
        <v>306</v>
      </c>
      <c r="C6" s="158"/>
      <c r="D6" s="158">
        <f>IFERROR((HistoricalFS!D18/HistoricalFS!C18)-1,0)</f>
        <v>0.1841578877183625</v>
      </c>
      <c r="E6" s="158">
        <f>IFERROR((HistoricalFS!E18/HistoricalFS!D18)-1,0)</f>
        <v>0.11047297297297298</v>
      </c>
      <c r="F6" s="158">
        <f>IFERROR((HistoricalFS!F18/HistoricalFS!E18)-1,0)</f>
        <v>0.1789879322583916</v>
      </c>
      <c r="G6" s="158">
        <f>IFERROR((HistoricalFS!G18/HistoricalFS!F18)-1,0)</f>
        <v>0.10588336487183891</v>
      </c>
      <c r="H6" s="158">
        <f>IFERROR((HistoricalFS!H18/HistoricalFS!G18)-1,0)</f>
        <v>0.10033444816053505</v>
      </c>
      <c r="I6" s="158">
        <f>IFERROR((HistoricalFS!I18/HistoricalFS!H18)-1,0)</f>
        <v>3.6191418675337594E-2</v>
      </c>
      <c r="J6" s="158">
        <f>IFERROR((HistoricalFS!J18/HistoricalFS!I18)-1,0)</f>
        <v>2.660481615389898E-3</v>
      </c>
      <c r="K6" s="158">
        <f>IFERROR((HistoricalFS!K18/HistoricalFS!J18)-1,0)</f>
        <v>2.3200435433392341E-2</v>
      </c>
      <c r="M6" s="158">
        <f t="shared" ref="M6:M9" si="0">IFERROR(AVERAGE(D6:K6),0)</f>
        <v>9.273611771327761E-2</v>
      </c>
      <c r="N6" s="158">
        <f t="shared" ref="N6:N40" si="1">IFERROR(MEDIAN(C6:K6),0)</f>
        <v>0.10310890651618698</v>
      </c>
    </row>
    <row r="7" spans="2:14" x14ac:dyDescent="0.3">
      <c r="B7" t="s">
        <v>307</v>
      </c>
      <c r="C7" s="158"/>
      <c r="D7" s="158">
        <f>IFERROR((HistoricalFS!D30/HistoricalFS!C30)-1,0)</f>
        <v>0.19114051488566086</v>
      </c>
      <c r="E7" s="158">
        <f>IFERROR((HistoricalFS!E30/HistoricalFS!D30)-1,0)</f>
        <v>5.5421395798116446E-2</v>
      </c>
      <c r="F7" s="158">
        <f>IFERROR((HistoricalFS!F30/HistoricalFS!E30)-1,0)</f>
        <v>0.19379933646035918</v>
      </c>
      <c r="G7" s="158">
        <f>IFERROR((HistoricalFS!G30/HistoricalFS!F30)-1,0)</f>
        <v>0.11739338763775753</v>
      </c>
      <c r="H7" s="158">
        <f>IFERROR((HistoricalFS!H30/HistoricalFS!G30)-1,0)</f>
        <v>0.10600343053173233</v>
      </c>
      <c r="I7" s="158">
        <f>IFERROR((HistoricalFS!I30/HistoricalFS!H30)-1,0)</f>
        <v>1.6516749379652529E-2</v>
      </c>
      <c r="J7" s="158">
        <f>IFERROR((HistoricalFS!J30/HistoricalFS!I30)-1,0)</f>
        <v>-3.4327561217484259E-3</v>
      </c>
      <c r="K7" s="158">
        <f>IFERROR((HistoricalFS!K30/HistoricalFS!J30)-1,0)</f>
        <v>1.7758726270667546E-2</v>
      </c>
      <c r="M7" s="158">
        <f t="shared" si="0"/>
        <v>8.6825098105274751E-2</v>
      </c>
      <c r="N7" s="158">
        <f t="shared" si="1"/>
        <v>8.071241316492439E-2</v>
      </c>
    </row>
    <row r="8" spans="2:14" x14ac:dyDescent="0.3">
      <c r="B8" t="s">
        <v>308</v>
      </c>
      <c r="C8" s="158"/>
      <c r="D8" s="158">
        <f>IFERROR((HistoricalFS!D36/HistoricalFS!C36)-1,0)</f>
        <v>0.17726713171932706</v>
      </c>
      <c r="E8" s="158">
        <f>IFERROR((HistoricalFS!E36/HistoricalFS!D36)-1,0)</f>
        <v>0.10352039037992333</v>
      </c>
      <c r="F8" s="158">
        <f>IFERROR((HistoricalFS!F36/HistoricalFS!E36)-1,0)</f>
        <v>0.23641819330385339</v>
      </c>
      <c r="G8" s="158">
        <f>IFERROR((HistoricalFS!G36/HistoricalFS!F36)-1,0)</f>
        <v>0.10780431728190054</v>
      </c>
      <c r="H8" s="158">
        <f>IFERROR((HistoricalFS!H36/HistoricalFS!G36)-1,0)</f>
        <v>0.11783696529459231</v>
      </c>
      <c r="I8" s="158">
        <f>IFERROR((HistoricalFS!I36/HistoricalFS!H36)-1,0)</f>
        <v>-2.372356884992266E-2</v>
      </c>
      <c r="J8" s="158">
        <f>IFERROR((HistoricalFS!J36/HistoricalFS!I36)-1,0)</f>
        <v>-1.5742208135235081E-2</v>
      </c>
      <c r="K8" s="158">
        <f>IFERROR((HistoricalFS!K36/HistoricalFS!J36)-1,0)</f>
        <v>8.8020609703735486E-2</v>
      </c>
      <c r="M8" s="158">
        <f t="shared" si="0"/>
        <v>9.8925228837271797E-2</v>
      </c>
      <c r="N8" s="158">
        <f t="shared" si="1"/>
        <v>0.10566235383091194</v>
      </c>
    </row>
    <row r="9" spans="2:14" x14ac:dyDescent="0.3">
      <c r="B9" s="159" t="s">
        <v>309</v>
      </c>
      <c r="C9" s="160"/>
      <c r="D9" s="160">
        <f>IFERROR((HistoricalFS!D44/HistoricalFS!C44)-1,0)</f>
        <v>9.9898359898360045E-2</v>
      </c>
      <c r="E9" s="160">
        <f>IFERROR((HistoricalFS!E44/HistoricalFS!D44)-1,0)</f>
        <v>0.13625864595975923</v>
      </c>
      <c r="F9" s="160">
        <f>IFERROR((HistoricalFS!F44/HistoricalFS!E44)-1,0)</f>
        <v>0.76241858370288274</v>
      </c>
      <c r="G9" s="160">
        <f>IFERROR((HistoricalFS!G44/HistoricalFS!F44)-1,0)</f>
        <v>-0.22652240255236511</v>
      </c>
      <c r="H9" s="160">
        <f>IFERROR((HistoricalFS!H44/HistoricalFS!G44)-1,0)</f>
        <v>0.14705882352941169</v>
      </c>
      <c r="I9" s="160">
        <f>IFERROR((HistoricalFS!I44/HistoricalFS!H44)-1,0)</f>
        <v>7.6923076923076872E-2</v>
      </c>
      <c r="J9" s="160">
        <f>IFERROR((HistoricalFS!J44/HistoricalFS!I44)-1,0)</f>
        <v>0.26190476190476186</v>
      </c>
      <c r="K9" s="160">
        <f>IFERROR((HistoricalFS!K44/HistoricalFS!J44)-1,0)</f>
        <v>-0.2264150943396227</v>
      </c>
      <c r="L9" s="159"/>
      <c r="M9" s="160">
        <f t="shared" si="0"/>
        <v>0.12894059437828309</v>
      </c>
      <c r="N9" s="160">
        <f t="shared" si="1"/>
        <v>0.11807850292905964</v>
      </c>
    </row>
    <row r="10" spans="2:14" x14ac:dyDescent="0.3">
      <c r="M10" s="157"/>
      <c r="N10" s="157"/>
    </row>
    <row r="11" spans="2:14" x14ac:dyDescent="0.3">
      <c r="B11" s="156" t="s">
        <v>69</v>
      </c>
      <c r="C11" s="157">
        <f>IFERROR(HistoricalFS!C13,0)</f>
        <v>0.45663243775495849</v>
      </c>
      <c r="D11" s="157">
        <f>IFERROR(HistoricalFS!D13,0)</f>
        <v>0.46372424319511574</v>
      </c>
      <c r="E11" s="157">
        <f>IFERROR(HistoricalFS!E13,0)</f>
        <v>0.48183897644722617</v>
      </c>
      <c r="F11" s="157">
        <f>IFERROR(HistoricalFS!F13,0)</f>
        <v>0.46200136089138388</v>
      </c>
      <c r="G11" s="157">
        <f>IFERROR(HistoricalFS!G13,0)</f>
        <v>0.44579186210578498</v>
      </c>
      <c r="H11" s="157">
        <f>IFERROR(HistoricalFS!H13,0)</f>
        <v>0.41596236381644108</v>
      </c>
      <c r="I11" s="157">
        <f>IFERROR(HistoricalFS!I13,0)</f>
        <v>0.45632997285769678</v>
      </c>
      <c r="J11" s="157">
        <f>IFERROR(HistoricalFS!J13,0)</f>
        <v>0.45344703887294546</v>
      </c>
      <c r="K11" s="157">
        <f>IFERROR(HistoricalFS!K13,0)</f>
        <v>0.44726065644971147</v>
      </c>
      <c r="L11" s="156"/>
      <c r="M11" s="157">
        <f>IFERROR(AVERAGE(C11:K11),0)</f>
        <v>0.45366543471014037</v>
      </c>
      <c r="N11" s="157">
        <f t="shared" si="1"/>
        <v>0.45632997285769678</v>
      </c>
    </row>
    <row r="12" spans="2:14" x14ac:dyDescent="0.3">
      <c r="B12" t="s">
        <v>310</v>
      </c>
      <c r="C12" s="158">
        <f>IFERROR(HistoricalFS!C19,0)</f>
        <v>0.21097200731467156</v>
      </c>
      <c r="D12" s="158">
        <f>IFERROR(HistoricalFS!D19,0)</f>
        <v>0.2258967183922666</v>
      </c>
      <c r="E12" s="158">
        <f>IFERROR(HistoricalFS!E19,0)</f>
        <v>0.24786969308498605</v>
      </c>
      <c r="F12" s="158">
        <f>IFERROR(HistoricalFS!F19,0)</f>
        <v>0.24721442544866887</v>
      </c>
      <c r="G12" s="158">
        <f>IFERROR(HistoricalFS!G19,0)</f>
        <v>0.24514738969606834</v>
      </c>
      <c r="H12" s="158">
        <f>IFERROR(HistoricalFS!H19,0)</f>
        <v>0.23352591614394189</v>
      </c>
      <c r="I12" s="158">
        <f>IFERROR(HistoricalFS!I19,0)</f>
        <v>0.23683275171255008</v>
      </c>
      <c r="J12" s="158">
        <f>IFERROR(HistoricalFS!J19,0)</f>
        <v>0.23966214453430734</v>
      </c>
      <c r="K12" s="158">
        <f>IFERROR(HistoricalFS!K19,0)</f>
        <v>0.23327852578023206</v>
      </c>
      <c r="M12" s="158">
        <f t="shared" ref="M12:M40" si="2">IFERROR(AVERAGE(C12:K12),0)</f>
        <v>0.2355999524564103</v>
      </c>
      <c r="N12" s="158">
        <f t="shared" si="1"/>
        <v>0.23683275171255008</v>
      </c>
    </row>
    <row r="13" spans="2:14" x14ac:dyDescent="0.3">
      <c r="B13" t="s">
        <v>311</v>
      </c>
      <c r="C13" s="158">
        <f>IFERROR(HistoricalFS!C25,0)</f>
        <v>0.19634266422844282</v>
      </c>
      <c r="D13" s="158">
        <f>IFERROR(HistoricalFS!D25,0)</f>
        <v>0.21152378529636226</v>
      </c>
      <c r="E13" s="158">
        <f>IFERROR(HistoricalFS!E25,0)</f>
        <v>0.22268305557650253</v>
      </c>
      <c r="F13" s="158">
        <f>IFERROR(HistoricalFS!F25,0)</f>
        <v>0.22437696691332823</v>
      </c>
      <c r="G13" s="158">
        <f>IFERROR(HistoricalFS!G25,0)</f>
        <v>0.22434504061320215</v>
      </c>
      <c r="H13" s="158">
        <f>IFERROR(HistoricalFS!H25,0)</f>
        <v>0.21475734565863322</v>
      </c>
      <c r="I13" s="158">
        <f>IFERROR(HistoricalFS!I25,0)</f>
        <v>0.21718689414501746</v>
      </c>
      <c r="J13" s="158">
        <f>IFERROR(HistoricalFS!J25,0)</f>
        <v>0.21923102008870338</v>
      </c>
      <c r="K13" s="158">
        <f>IFERROR(HistoricalFS!K25,0)</f>
        <v>0.21260160079419246</v>
      </c>
      <c r="M13" s="158">
        <f t="shared" si="2"/>
        <v>0.21589426370159825</v>
      </c>
      <c r="N13" s="158">
        <f t="shared" si="1"/>
        <v>0.21718689414501746</v>
      </c>
    </row>
    <row r="14" spans="2:14" x14ac:dyDescent="0.3">
      <c r="B14" t="s">
        <v>312</v>
      </c>
      <c r="C14" s="158">
        <f>IFERROR(HistoricalFS!C31,0)</f>
        <v>0.19561119707413138</v>
      </c>
      <c r="D14" s="158">
        <f>IFERROR(HistoricalFS!D31,0)</f>
        <v>0.21068430424828288</v>
      </c>
      <c r="E14" s="158">
        <f>IFERROR(HistoricalFS!E31,0)</f>
        <v>0.21971696453258929</v>
      </c>
      <c r="F14" s="158">
        <f>IFERROR(HistoricalFS!F31,0)</f>
        <v>0.22188908735221571</v>
      </c>
      <c r="G14" s="158">
        <f>IFERROR(HistoricalFS!G31,0)</f>
        <v>0.22232391412119132</v>
      </c>
      <c r="H14" s="158">
        <f>IFERROR(HistoricalFS!H31,0)</f>
        <v>0.21287553648068669</v>
      </c>
      <c r="I14" s="158">
        <f>IFERROR(HistoricalFS!I31,0)</f>
        <v>0.2117907457670932</v>
      </c>
      <c r="J14" s="158">
        <f>IFERROR(HistoricalFS!J31,0)</f>
        <v>0.21301852334985652</v>
      </c>
      <c r="K14" s="158">
        <f>IFERROR(HistoricalFS!K31,0)</f>
        <v>0.20624185642489298</v>
      </c>
      <c r="M14" s="158">
        <f t="shared" si="2"/>
        <v>0.2126835699278822</v>
      </c>
      <c r="N14" s="158">
        <f t="shared" si="1"/>
        <v>0.21287553648068669</v>
      </c>
    </row>
    <row r="15" spans="2:14" x14ac:dyDescent="0.3">
      <c r="B15" s="159" t="s">
        <v>313</v>
      </c>
      <c r="C15" s="160">
        <f>IFERROR(HistoricalFS!C37,0)</f>
        <v>0.1371219580813054</v>
      </c>
      <c r="D15" s="160">
        <f>IFERROR(HistoricalFS!D37,0)</f>
        <v>0.14596794708725516</v>
      </c>
      <c r="E15" s="160">
        <f>IFERROR(HistoricalFS!E37,0)</f>
        <v>0.15916346178015736</v>
      </c>
      <c r="F15" s="160">
        <f>IFERROR(HistoricalFS!F37,0)</f>
        <v>0.16647529131581185</v>
      </c>
      <c r="G15" s="160">
        <f>IFERROR(HistoricalFS!G37,0)</f>
        <v>0.16537009495481067</v>
      </c>
      <c r="H15" s="160">
        <f>IFERROR(HistoricalFS!H37,0)</f>
        <v>0.16003631561571477</v>
      </c>
      <c r="I15" s="160">
        <f>IFERROR(HistoricalFS!I37,0)</f>
        <v>0.15291779759596744</v>
      </c>
      <c r="J15" s="160">
        <f>IFERROR(HistoricalFS!J37,0)</f>
        <v>0.15190451343595096</v>
      </c>
      <c r="K15" s="160">
        <f>IFERROR(HistoricalFS!K37,0)</f>
        <v>0.15722529006638952</v>
      </c>
      <c r="L15" s="159"/>
      <c r="M15" s="160">
        <f t="shared" si="2"/>
        <v>0.15513140777037368</v>
      </c>
      <c r="N15" s="160">
        <f t="shared" si="1"/>
        <v>0.15722529006638952</v>
      </c>
    </row>
    <row r="16" spans="2:14" x14ac:dyDescent="0.3">
      <c r="M16" s="157"/>
      <c r="N16" s="157"/>
    </row>
    <row r="17" spans="2:14" x14ac:dyDescent="0.3">
      <c r="B17" s="156" t="s">
        <v>314</v>
      </c>
      <c r="C17" s="161">
        <f>IFERROR(HistoricalFS!C16,0)</f>
        <v>0.24566043044028696</v>
      </c>
      <c r="D17" s="161">
        <f>IFERROR(HistoricalFS!D16,0)</f>
        <v>0.23782752480284916</v>
      </c>
      <c r="E17" s="161">
        <f>IFERROR(HistoricalFS!E16,0)</f>
        <v>0.23396928336224015</v>
      </c>
      <c r="F17" s="161">
        <f>IFERROR(HistoricalFS!F16,0)</f>
        <v>0.21478693544271499</v>
      </c>
      <c r="G17" s="161">
        <f>IFERROR(HistoricalFS!G16,0)</f>
        <v>0.20064447240971667</v>
      </c>
      <c r="H17" s="161">
        <f>IFERROR(HistoricalFS!H16,0)</f>
        <v>0.18243644767249917</v>
      </c>
      <c r="I17" s="161">
        <f>IFERROR(HistoricalFS!I16,0)</f>
        <v>0.21949722114514669</v>
      </c>
      <c r="J17" s="161">
        <f>IFERROR(HistoricalFS!J16,0)</f>
        <v>0.21378489433863815</v>
      </c>
      <c r="K17" s="161">
        <f>IFERROR(HistoricalFS!K16,0)</f>
        <v>0.21398213066947944</v>
      </c>
      <c r="L17" s="156"/>
      <c r="M17" s="157">
        <f t="shared" si="2"/>
        <v>0.21806548225373015</v>
      </c>
      <c r="N17" s="157">
        <f t="shared" si="1"/>
        <v>0.21478693544271499</v>
      </c>
    </row>
    <row r="18" spans="2:14" x14ac:dyDescent="0.3">
      <c r="B18" t="s">
        <v>315</v>
      </c>
      <c r="C18" s="29">
        <f>IFERROR(HistoricalFS!C22,0)</f>
        <v>1.4629343086228723E-2</v>
      </c>
      <c r="D18" s="29">
        <f>IFERROR(HistoricalFS!D22,0)</f>
        <v>1.437293309590435E-2</v>
      </c>
      <c r="E18" s="29">
        <f>IFERROR(HistoricalFS!E22,0)</f>
        <v>2.5186637508483524E-2</v>
      </c>
      <c r="F18" s="29">
        <f>IFERROR(HistoricalFS!F22,0)</f>
        <v>2.2837458535340648E-2</v>
      </c>
      <c r="G18" s="29">
        <f>IFERROR(HistoricalFS!G22,0)</f>
        <v>2.0802349082866187E-2</v>
      </c>
      <c r="H18" s="29">
        <f>IFERROR(HistoricalFS!H22,0)</f>
        <v>1.8768570485308684E-2</v>
      </c>
      <c r="I18" s="29">
        <f>IFERROR(HistoricalFS!I22,0)</f>
        <v>1.9645857567532635E-2</v>
      </c>
      <c r="J18" s="29">
        <f>IFERROR(HistoricalFS!J22,0)</f>
        <v>2.0431124445603965E-2</v>
      </c>
      <c r="K18" s="29">
        <f>IFERROR(HistoricalFS!K22,0)</f>
        <v>2.0676924986039586E-2</v>
      </c>
      <c r="M18" s="158">
        <f t="shared" si="2"/>
        <v>1.9705688754812035E-2</v>
      </c>
      <c r="N18" s="158">
        <f t="shared" si="1"/>
        <v>2.0431124445603965E-2</v>
      </c>
    </row>
    <row r="19" spans="2:14" x14ac:dyDescent="0.3">
      <c r="B19" s="159" t="s">
        <v>316</v>
      </c>
      <c r="C19" s="162">
        <f>C13</f>
        <v>0.19634266422844282</v>
      </c>
      <c r="D19" s="162">
        <f t="shared" ref="D19:K19" si="3">D13</f>
        <v>0.21152378529636226</v>
      </c>
      <c r="E19" s="162">
        <f t="shared" si="3"/>
        <v>0.22268305557650253</v>
      </c>
      <c r="F19" s="162">
        <f t="shared" si="3"/>
        <v>0.22437696691332823</v>
      </c>
      <c r="G19" s="162">
        <f t="shared" si="3"/>
        <v>0.22434504061320215</v>
      </c>
      <c r="H19" s="162">
        <f t="shared" si="3"/>
        <v>0.21475734565863322</v>
      </c>
      <c r="I19" s="162">
        <f t="shared" si="3"/>
        <v>0.21718689414501746</v>
      </c>
      <c r="J19" s="162">
        <f t="shared" si="3"/>
        <v>0.21923102008870338</v>
      </c>
      <c r="K19" s="162">
        <f t="shared" si="3"/>
        <v>0.21260160079419246</v>
      </c>
      <c r="L19" s="159"/>
      <c r="M19" s="160">
        <f t="shared" si="2"/>
        <v>0.21589426370159825</v>
      </c>
      <c r="N19" s="160">
        <f t="shared" si="1"/>
        <v>0.21718689414501746</v>
      </c>
    </row>
    <row r="20" spans="2:14" x14ac:dyDescent="0.3">
      <c r="M20" s="157"/>
      <c r="N20" s="157"/>
    </row>
    <row r="21" spans="2:14" x14ac:dyDescent="0.3">
      <c r="B21" s="156" t="s">
        <v>317</v>
      </c>
      <c r="C21" s="161">
        <f>IFERROR(HistoricalFS!C24/SUM(HistoricalFS!C55:C57),0)</f>
        <v>0.95852218101909081</v>
      </c>
      <c r="D21" s="161">
        <f>IFERROR(HistoricalFS!D24/SUM(HistoricalFS!D55:D57),0)</f>
        <v>1.0438111975897564</v>
      </c>
      <c r="E21" s="161">
        <f>IFERROR(HistoricalFS!E24/SUM(HistoricalFS!E55:E57),0)</f>
        <v>1.0765585125774699</v>
      </c>
      <c r="F21" s="161">
        <f>IFERROR(HistoricalFS!F24/SUM(HistoricalFS!F55:F57),0)</f>
        <v>0.22133657758946176</v>
      </c>
      <c r="G21" s="161">
        <f>IFERROR(HistoricalFS!G24/SUM(HistoricalFS!G55:G57),0)</f>
        <v>0.23483155037521955</v>
      </c>
      <c r="H21" s="161">
        <f>IFERROR(HistoricalFS!H24/SUM(HistoricalFS!H55:H57),0)</f>
        <v>0.25250858839741475</v>
      </c>
      <c r="I21" s="161">
        <f>IFERROR(HistoricalFS!I24/SUM(HistoricalFS!I55:I57),0)</f>
        <v>0.25507570870175705</v>
      </c>
      <c r="J21" s="161">
        <f>IFERROR(HistoricalFS!J24/SUM(HistoricalFS!J55:J57),0)</f>
        <v>0.26336924583741428</v>
      </c>
      <c r="K21" s="161">
        <f>IFERROR(HistoricalFS!K24/SUM(HistoricalFS!K55:K57),0)</f>
        <v>0.27293546010315234</v>
      </c>
      <c r="L21" s="156"/>
      <c r="M21" s="157">
        <f t="shared" si="2"/>
        <v>0.50877211357674856</v>
      </c>
      <c r="N21" s="157">
        <f t="shared" si="1"/>
        <v>0.26336924583741428</v>
      </c>
    </row>
    <row r="22" spans="2:14" x14ac:dyDescent="0.3">
      <c r="B22" t="s">
        <v>318</v>
      </c>
      <c r="C22" s="29">
        <f>IFERROR(HistoricalFS!C47,0)</f>
        <v>0.11366434140336479</v>
      </c>
      <c r="D22" s="29">
        <f>IFERROR(HistoricalFS!D47,0)</f>
        <v>0.17183687696061345</v>
      </c>
      <c r="E22" s="29">
        <f>IFERROR(HistoricalFS!E47,0)</f>
        <v>0.14718888186986734</v>
      </c>
      <c r="F22" s="29">
        <f>IFERROR(HistoricalFS!F47,0)</f>
        <v>0</v>
      </c>
      <c r="G22" s="29">
        <f>IFERROR(HistoricalFS!G47,0)</f>
        <v>7.8750144125446675E-2</v>
      </c>
      <c r="H22" s="29">
        <f>IFERROR(HistoricalFS!H47,0)</f>
        <v>5.4667354306343507E-2</v>
      </c>
      <c r="I22" s="29">
        <f>IFERROR(HistoricalFS!I47,0)</f>
        <v>0</v>
      </c>
      <c r="J22" s="29">
        <f>IFERROR(HistoricalFS!J47,0)</f>
        <v>0</v>
      </c>
      <c r="K22" s="29">
        <f>IFERROR(HistoricalFS!K47,0)</f>
        <v>4.9427782162588807E-2</v>
      </c>
      <c r="M22" s="158">
        <f t="shared" si="2"/>
        <v>6.839282009202495E-2</v>
      </c>
      <c r="N22" s="158">
        <f t="shared" si="1"/>
        <v>5.4667354306343507E-2</v>
      </c>
    </row>
    <row r="23" spans="2:14" x14ac:dyDescent="0.3">
      <c r="B23" t="s">
        <v>319</v>
      </c>
      <c r="C23" s="29">
        <f>IFERROR(HistoricalFS!C36/SUM(HistoricalFS!C55:C56),0)</f>
        <v>0.6694135420958659</v>
      </c>
      <c r="D23" s="29">
        <f>IFERROR(HistoricalFS!D36/SUM(HistoricalFS!D55:D56),0)</f>
        <v>0.72937587390364811</v>
      </c>
      <c r="E23" s="29">
        <f>IFERROR(HistoricalFS!E36/SUM(HistoricalFS!E55:E56),0)</f>
        <v>0.76947381212784061</v>
      </c>
      <c r="F23" s="29">
        <f>IFERROR(HistoricalFS!F36/SUM(HistoricalFS!F55:F56),0)</f>
        <v>0.16421949070772329</v>
      </c>
      <c r="G23" s="29">
        <f>IFERROR(HistoricalFS!G36/SUM(HistoricalFS!G55:G56),0)</f>
        <v>0.1767799270296162</v>
      </c>
      <c r="H23" s="29">
        <f>IFERROR(HistoricalFS!H36/SUM(HistoricalFS!H55:H56),0)</f>
        <v>0.19272821246819338</v>
      </c>
      <c r="I23" s="29">
        <f>IFERROR(HistoricalFS!I36/SUM(HistoricalFS!I55:I56),0)</f>
        <v>0.18479831309305322</v>
      </c>
      <c r="J23" s="29">
        <f>IFERROR(HistoricalFS!J36/SUM(HistoricalFS!J55:J56),0)</f>
        <v>0.18857536132140398</v>
      </c>
      <c r="K23" s="29">
        <f>IFERROR(HistoricalFS!K36/SUM(HistoricalFS!K55:K56),0)</f>
        <v>0.20796487412544368</v>
      </c>
      <c r="M23" s="158">
        <f t="shared" si="2"/>
        <v>0.36481437854142101</v>
      </c>
      <c r="N23" s="158">
        <f t="shared" si="1"/>
        <v>0.19272821246819338</v>
      </c>
    </row>
    <row r="24" spans="2:14" x14ac:dyDescent="0.3">
      <c r="B24" t="s">
        <v>320</v>
      </c>
      <c r="C24" s="158">
        <f>IFERROR(C22*C23,0)</f>
        <v>7.6088449388820215E-2</v>
      </c>
      <c r="D24" s="158">
        <f t="shared" ref="D24:K24" si="4">IFERROR(D22*D23,0)</f>
        <v>0.12533367230202108</v>
      </c>
      <c r="E24" s="158">
        <f t="shared" si="4"/>
        <v>0.11325799003524123</v>
      </c>
      <c r="F24" s="158">
        <f t="shared" si="4"/>
        <v>0</v>
      </c>
      <c r="G24" s="158">
        <f t="shared" si="4"/>
        <v>1.3921444732068222E-2</v>
      </c>
      <c r="H24" s="158">
        <f t="shared" si="4"/>
        <v>1.0535941475826979E-2</v>
      </c>
      <c r="I24" s="158">
        <f t="shared" si="4"/>
        <v>0</v>
      </c>
      <c r="J24" s="158">
        <f t="shared" si="4"/>
        <v>0</v>
      </c>
      <c r="K24" s="158">
        <f t="shared" si="4"/>
        <v>1.0279242495742632E-2</v>
      </c>
      <c r="M24" s="158">
        <f t="shared" si="2"/>
        <v>3.8824082269968932E-2</v>
      </c>
      <c r="N24" s="158">
        <f t="shared" si="1"/>
        <v>1.0535941475826979E-2</v>
      </c>
    </row>
    <row r="25" spans="2:14" x14ac:dyDescent="0.3">
      <c r="B25" s="159" t="s">
        <v>321</v>
      </c>
      <c r="C25" s="163">
        <f>IFERROR(HistoricalFS!C24/HistoricalFS!C27,0)</f>
        <v>268.42307692307691</v>
      </c>
      <c r="D25" s="163">
        <f>IFERROR(HistoricalFS!D24/HistoricalFS!D27,0)</f>
        <v>251.96969696969697</v>
      </c>
      <c r="E25" s="163">
        <f>IFERROR(HistoricalFS!E24/HistoricalFS!E27,0)</f>
        <v>75.076271186440678</v>
      </c>
      <c r="F25" s="163">
        <f>IFERROR(HistoricalFS!F24/HistoricalFS!F27,0)</f>
        <v>90.188034188034194</v>
      </c>
      <c r="G25" s="163">
        <f>IFERROR(HistoricalFS!G24/HistoricalFS!G27,0)</f>
        <v>111</v>
      </c>
      <c r="H25" s="163">
        <f>IFERROR(HistoricalFS!H24/HistoricalFS!H27,0)</f>
        <v>114.12280701754386</v>
      </c>
      <c r="I25" s="163">
        <f>IFERROR(HistoricalFS!I24/HistoricalFS!I27,0)</f>
        <v>40.248502994011979</v>
      </c>
      <c r="J25" s="163">
        <f>IFERROR(HistoricalFS!J24/HistoricalFS!J27,0)</f>
        <v>35.288713910761153</v>
      </c>
      <c r="K25" s="163">
        <f>IFERROR(HistoricalFS!K24/HistoricalFS!K27,0)</f>
        <v>33.429268292682927</v>
      </c>
      <c r="L25" s="159"/>
      <c r="M25" s="163">
        <f t="shared" si="2"/>
        <v>113.30515238691652</v>
      </c>
      <c r="N25" s="163">
        <f t="shared" si="1"/>
        <v>90.188034188034194</v>
      </c>
    </row>
    <row r="27" spans="2:14" x14ac:dyDescent="0.3">
      <c r="B27" s="156" t="s">
        <v>322</v>
      </c>
      <c r="C27" s="164">
        <f>IFERROR(HistoricalFS!C6/HistoricalFS!C67,0)</f>
        <v>27.133587786259543</v>
      </c>
      <c r="D27" s="164">
        <f>IFERROR(HistoricalFS!D6/HistoricalFS!D67,0)</f>
        <v>21.646475770925111</v>
      </c>
      <c r="E27" s="164">
        <f>IFERROR(HistoricalFS!E6/HistoricalFS!E67,0)</f>
        <v>34.624020887728463</v>
      </c>
      <c r="F27" s="164">
        <f>IFERROR(HistoricalFS!F6/HistoricalFS!F67,0)</f>
        <v>26.750853242320819</v>
      </c>
      <c r="G27" s="164">
        <f>IFERROR(HistoricalFS!G6/HistoricalFS!G67,0)</f>
        <v>23.455277280858677</v>
      </c>
      <c r="H27" s="164">
        <f>IFERROR(HistoricalFS!H6/HistoricalFS!H67,0)</f>
        <v>19.67521922702176</v>
      </c>
      <c r="I27" s="164">
        <f>IFERROR(HistoricalFS!I6/HistoricalFS!I67,0)</f>
        <v>20.652652652652652</v>
      </c>
      <c r="J27" s="164">
        <f>IFERROR(HistoricalFS!J6/HistoricalFS!J67,0)</f>
        <v>16.058654097931395</v>
      </c>
      <c r="K27" s="164">
        <f>IFERROR(HistoricalFS!K6/HistoricalFS!K67,0)</f>
        <v>19.079017460787217</v>
      </c>
      <c r="L27" s="156"/>
      <c r="M27" s="164">
        <f t="shared" si="2"/>
        <v>23.230639822942848</v>
      </c>
      <c r="N27" s="164">
        <f t="shared" si="1"/>
        <v>21.646475770925111</v>
      </c>
    </row>
    <row r="28" spans="2:14" x14ac:dyDescent="0.3">
      <c r="B28" t="s">
        <v>323</v>
      </c>
      <c r="C28" s="165">
        <f>IFERROR(HistoricalFS!C6/HistoricalFS!C58,0)</f>
        <v>3.3593233153766184</v>
      </c>
      <c r="D28" s="165">
        <f>IFERROR(HistoricalFS!D6/HistoricalFS!D58,0)</f>
        <v>3.6865797617931162</v>
      </c>
      <c r="E28" s="165">
        <f>IFERROR(HistoricalFS!E6/HistoricalFS!E58,0)</f>
        <v>3.3363804092586382</v>
      </c>
      <c r="F28" s="165">
        <f>IFERROR(HistoricalFS!F6/HistoricalFS!F58,0)</f>
        <v>2.2324124181144973</v>
      </c>
      <c r="G28" s="165">
        <f>IFERROR(HistoricalFS!G6/HistoricalFS!G58,0)</f>
        <v>2.5706303303597688</v>
      </c>
      <c r="H28" s="165">
        <f>IFERROR(HistoricalFS!H6/HistoricalFS!H58,0)</f>
        <v>2.8106151990349817</v>
      </c>
      <c r="I28" s="165">
        <f>IFERROR(HistoricalFS!I6/HistoricalFS!I58,0)</f>
        <v>2.4002792104548805</v>
      </c>
      <c r="J28" s="165">
        <f>IFERROR(HistoricalFS!J6/HistoricalFS!J58,0)</f>
        <v>2.1284836705653696</v>
      </c>
      <c r="K28" s="165">
        <f>IFERROR(HistoricalFS!K6/HistoricalFS!K58,0)</f>
        <v>2.1838013617424883</v>
      </c>
      <c r="M28" s="165">
        <f t="shared" si="2"/>
        <v>2.7453895196333731</v>
      </c>
      <c r="N28" s="165">
        <f t="shared" si="1"/>
        <v>2.5706303303597688</v>
      </c>
    </row>
    <row r="29" spans="2:14" x14ac:dyDescent="0.3">
      <c r="B29" t="s">
        <v>324</v>
      </c>
      <c r="C29" s="165">
        <f>IFERROR(HistoricalFS!C6/HistoricalFS!C80,0)</f>
        <v>-243.45890410958904</v>
      </c>
      <c r="D29" s="165">
        <f>IFERROR(HistoricalFS!D6/HistoricalFS!D80,0)</f>
        <v>-201.58974358974359</v>
      </c>
      <c r="E29" s="165">
        <f>IFERROR(HistoricalFS!E6/HistoricalFS!E80,0)</f>
        <v>-120.19033232628399</v>
      </c>
      <c r="F29" s="165">
        <f>IFERROR(HistoricalFS!F6/HistoricalFS!F80,0)</f>
        <v>-86.607734806629836</v>
      </c>
      <c r="G29" s="165">
        <f>IFERROR(HistoricalFS!G6/HistoricalFS!G80,0)</f>
        <v>-69.189973614775724</v>
      </c>
      <c r="H29" s="165">
        <f>IFERROR(HistoricalFS!H6/HistoricalFS!H80,0)</f>
        <v>-178.70206489675516</v>
      </c>
      <c r="I29" s="165">
        <f>IFERROR(HistoricalFS!I6/HistoricalFS!I80,0)</f>
        <v>836.43243243243239</v>
      </c>
      <c r="J29" s="165">
        <f>IFERROR(HistoricalFS!J6/HistoricalFS!J80,0)</f>
        <v>-105.01369863013699</v>
      </c>
      <c r="K29" s="165">
        <f>IFERROR(HistoricalFS!K6/HistoricalFS!K80,0)</f>
        <v>-93.161849710982665</v>
      </c>
      <c r="M29" s="165">
        <f t="shared" si="2"/>
        <v>-29.053541028051615</v>
      </c>
      <c r="N29" s="165">
        <f t="shared" si="1"/>
        <v>-105.01369863013699</v>
      </c>
    </row>
    <row r="30" spans="2:14" x14ac:dyDescent="0.3">
      <c r="B30" t="s">
        <v>325</v>
      </c>
      <c r="C30" s="165">
        <f>IFERROR(HistoricalFS!C6/HistoricalFS!C61,0)</f>
        <v>7.8500441696113077</v>
      </c>
      <c r="D30" s="165">
        <f>IFERROR(HistoricalFS!D6/HistoricalFS!D61,0)</f>
        <v>8.3372216330858961</v>
      </c>
      <c r="E30" s="165">
        <f>IFERROR(HistoricalFS!E6/HistoricalFS!E61,0)</f>
        <v>7.2609965322139081</v>
      </c>
      <c r="F30" s="165">
        <f>IFERROR(HistoricalFS!F6/HistoricalFS!F61,0)</f>
        <v>0.91417685593763975</v>
      </c>
      <c r="G30" s="165">
        <f>IFERROR(HistoricalFS!G6/HistoricalFS!G61,0)</f>
        <v>1.018903114254075</v>
      </c>
      <c r="H30" s="165">
        <f>IFERROR(HistoricalFS!H6/HistoricalFS!H61,0)</f>
        <v>1.1500056949770303</v>
      </c>
      <c r="I30" s="165">
        <f>IFERROR(HistoricalFS!I6/HistoricalFS!I61,0)</f>
        <v>1.1516820482286394</v>
      </c>
      <c r="J30" s="165">
        <f>IFERROR(HistoricalFS!J6/HistoricalFS!J61,0)</f>
        <v>1.1287015735713628</v>
      </c>
      <c r="K30" s="165">
        <f>IFERROR(HistoricalFS!K6/HistoricalFS!K61,0)</f>
        <v>1.1225882844605419</v>
      </c>
      <c r="M30" s="165">
        <f t="shared" si="2"/>
        <v>3.3260355451489336</v>
      </c>
      <c r="N30" s="165">
        <f t="shared" si="1"/>
        <v>1.1500056949770303</v>
      </c>
    </row>
    <row r="31" spans="2:14" x14ac:dyDescent="0.3">
      <c r="B31" s="159" t="s">
        <v>326</v>
      </c>
      <c r="C31" s="163">
        <f>IFERROR(HistoricalFS!C6/SUM(HistoricalFS!C55:C56),0)</f>
        <v>4.8818843565444308</v>
      </c>
      <c r="D31" s="163">
        <f>IFERROR(HistoricalFS!D6/SUM(HistoricalFS!D55:D56),0)</f>
        <v>4.9968221685521801</v>
      </c>
      <c r="E31" s="163">
        <f>IFERROR(HistoricalFS!E6/SUM(HistoricalFS!E55:E56),0)</f>
        <v>4.8344877870944218</v>
      </c>
      <c r="F31" s="163">
        <f>IFERROR(HistoricalFS!F6/SUM(HistoricalFS!F55:F56),0)</f>
        <v>0.98644963711876499</v>
      </c>
      <c r="G31" s="163">
        <f>IFERROR(HistoricalFS!G6/SUM(HistoricalFS!G55:G56),0)</f>
        <v>1.0689957399971464</v>
      </c>
      <c r="H31" s="163">
        <f>IFERROR(HistoricalFS!H6/SUM(HistoricalFS!H55:H56),0)</f>
        <v>1.2042779898218829</v>
      </c>
      <c r="I31" s="163">
        <f>IFERROR(HistoricalFS!I6/SUM(HistoricalFS!I55:I56),0)</f>
        <v>1.2084813932601819</v>
      </c>
      <c r="J31" s="163">
        <f>IFERROR(HistoricalFS!J6/SUM(HistoricalFS!J55:J56),0)</f>
        <v>1.2414072304764989</v>
      </c>
      <c r="K31" s="163">
        <f>IFERROR(HistoricalFS!K6/SUM(HistoricalFS!K55:K56),0)</f>
        <v>1.3227189724860995</v>
      </c>
      <c r="L31" s="159"/>
      <c r="M31" s="163">
        <f t="shared" si="2"/>
        <v>2.4161694750390676</v>
      </c>
      <c r="N31" s="163">
        <f t="shared" si="1"/>
        <v>1.2414072304764989</v>
      </c>
    </row>
    <row r="33" spans="2:14" x14ac:dyDescent="0.3">
      <c r="B33" s="156" t="s">
        <v>327</v>
      </c>
      <c r="C33" s="166">
        <f>IFERROR(365/C27,0)</f>
        <v>13.4519623013082</v>
      </c>
      <c r="D33" s="166">
        <f t="shared" ref="D33:K33" si="5">IFERROR(365/D27,0)</f>
        <v>16.861867209361485</v>
      </c>
      <c r="E33" s="166">
        <f t="shared" si="5"/>
        <v>10.541814342809742</v>
      </c>
      <c r="F33" s="166">
        <f t="shared" si="5"/>
        <v>13.644424598111764</v>
      </c>
      <c r="G33" s="166">
        <f t="shared" si="5"/>
        <v>15.561529954619989</v>
      </c>
      <c r="H33" s="166">
        <f t="shared" si="5"/>
        <v>18.551254539451964</v>
      </c>
      <c r="I33" s="166">
        <f t="shared" si="5"/>
        <v>17.673274525009695</v>
      </c>
      <c r="J33" s="166">
        <f t="shared" si="5"/>
        <v>22.729177537177147</v>
      </c>
      <c r="K33" s="166">
        <f t="shared" si="5"/>
        <v>19.13096419929267</v>
      </c>
      <c r="L33" s="156"/>
      <c r="M33" s="167">
        <f t="shared" si="2"/>
        <v>16.460696578571405</v>
      </c>
      <c r="N33" s="167">
        <f t="shared" si="1"/>
        <v>16.861867209361485</v>
      </c>
    </row>
    <row r="34" spans="2:14" x14ac:dyDescent="0.3">
      <c r="B34" t="s">
        <v>328</v>
      </c>
      <c r="C34" s="168">
        <f>IFERROR(365/C28,0)</f>
        <v>108.65283443522296</v>
      </c>
      <c r="D34" s="168">
        <f t="shared" ref="D34:K35" si="6">IFERROR(365/D28,0)</f>
        <v>99.007758839989833</v>
      </c>
      <c r="E34" s="168">
        <f t="shared" si="6"/>
        <v>109.39999497272704</v>
      </c>
      <c r="F34" s="168">
        <f t="shared" si="6"/>
        <v>163.50025516713447</v>
      </c>
      <c r="G34" s="168">
        <f t="shared" si="6"/>
        <v>141.98852152690384</v>
      </c>
      <c r="H34" s="168">
        <f t="shared" si="6"/>
        <v>129.86480686695279</v>
      </c>
      <c r="I34" s="168">
        <f t="shared" si="6"/>
        <v>152.06564236784283</v>
      </c>
      <c r="J34" s="168">
        <f t="shared" si="6"/>
        <v>171.48358009392123</v>
      </c>
      <c r="K34" s="168">
        <f t="shared" si="6"/>
        <v>167.13974374883665</v>
      </c>
      <c r="M34" s="27">
        <f t="shared" si="2"/>
        <v>138.1225708910591</v>
      </c>
      <c r="N34" s="27">
        <f t="shared" si="1"/>
        <v>141.98852152690384</v>
      </c>
    </row>
    <row r="35" spans="2:14" x14ac:dyDescent="0.3">
      <c r="B35" t="s">
        <v>329</v>
      </c>
      <c r="C35" s="168">
        <f>IFERROR(365/C29,0)</f>
        <v>-1.4992263328175552</v>
      </c>
      <c r="D35" s="168">
        <f t="shared" si="6"/>
        <v>-1.8106079877893666</v>
      </c>
      <c r="E35" s="168">
        <f t="shared" si="6"/>
        <v>-3.036849910765905</v>
      </c>
      <c r="F35" s="168">
        <f t="shared" si="6"/>
        <v>-4.2144041847410056</v>
      </c>
      <c r="G35" s="168">
        <f t="shared" si="6"/>
        <v>-5.2753308164588342</v>
      </c>
      <c r="H35" s="168">
        <f t="shared" si="6"/>
        <v>-2.0425057774843181</v>
      </c>
      <c r="I35" s="168">
        <f t="shared" si="6"/>
        <v>0.43637714876567146</v>
      </c>
      <c r="J35" s="168">
        <f t="shared" si="6"/>
        <v>-3.4757370206104881</v>
      </c>
      <c r="K35" s="168">
        <f t="shared" si="6"/>
        <v>-3.917912762921139</v>
      </c>
      <c r="M35" s="27">
        <f t="shared" si="2"/>
        <v>-2.7595775160914378</v>
      </c>
      <c r="N35" s="27">
        <f t="shared" si="1"/>
        <v>-3.036849910765905</v>
      </c>
    </row>
    <row r="36" spans="2:14" x14ac:dyDescent="0.3">
      <c r="B36" s="159" t="s">
        <v>330</v>
      </c>
      <c r="C36" s="169">
        <f>SUM(C33,C35)-C34</f>
        <v>-96.700098466732314</v>
      </c>
      <c r="D36" s="169">
        <f t="shared" ref="D36:K36" si="7">SUM(D33,D35)-D34</f>
        <v>-83.956499618417709</v>
      </c>
      <c r="E36" s="169">
        <f t="shared" si="7"/>
        <v>-101.89503054068321</v>
      </c>
      <c r="F36" s="169">
        <f t="shared" si="7"/>
        <v>-154.07023475376371</v>
      </c>
      <c r="G36" s="169">
        <f t="shared" si="7"/>
        <v>-131.70232238874269</v>
      </c>
      <c r="H36" s="169">
        <f t="shared" si="7"/>
        <v>-113.35605810498515</v>
      </c>
      <c r="I36" s="169">
        <f t="shared" si="7"/>
        <v>-133.95599069406745</v>
      </c>
      <c r="J36" s="169">
        <f t="shared" si="7"/>
        <v>-152.23013957735458</v>
      </c>
      <c r="K36" s="169">
        <f t="shared" si="7"/>
        <v>-151.92669231246512</v>
      </c>
      <c r="L36" s="159"/>
      <c r="M36" s="170">
        <f t="shared" si="2"/>
        <v>-124.42145182857909</v>
      </c>
      <c r="N36" s="170">
        <f t="shared" si="1"/>
        <v>-131.70232238874269</v>
      </c>
    </row>
    <row r="37" spans="2:14" x14ac:dyDescent="0.3">
      <c r="M37" s="27"/>
      <c r="N37" s="27"/>
    </row>
    <row r="38" spans="2:14" x14ac:dyDescent="0.3">
      <c r="B38" s="156" t="s">
        <v>331</v>
      </c>
      <c r="C38" s="167">
        <f>IFERROR(HistoricalFS!C89/HistoricalFS!C6,0)</f>
        <v>0.19397946265297511</v>
      </c>
      <c r="D38" s="167">
        <f>IFERROR(HistoricalFS!D89/HistoricalFS!D6,0)</f>
        <v>0.1388450775883999</v>
      </c>
      <c r="E38" s="167">
        <f>IFERROR(HistoricalFS!E89/HistoricalFS!E6,0)</f>
        <v>0.20194555463388886</v>
      </c>
      <c r="F38" s="167">
        <f>IFERROR(HistoricalFS!F89/HistoricalFS!F6,0)</f>
        <v>0.19269371438292082</v>
      </c>
      <c r="G38" s="167">
        <f>IFERROR(HistoricalFS!G89/HistoricalFS!G6,0)</f>
        <v>0.15345307554436946</v>
      </c>
      <c r="H38" s="167">
        <f>IFERROR(HistoricalFS!H89/HistoricalFS!H6,0)</f>
        <v>0.14907560250907889</v>
      </c>
      <c r="I38" s="167">
        <f>IFERROR(HistoricalFS!I89/HistoricalFS!I6,0)</f>
        <v>0.27113222179139201</v>
      </c>
      <c r="J38" s="167">
        <f>IFERROR(HistoricalFS!J89/HistoricalFS!J6,0)</f>
        <v>0.18096138794677799</v>
      </c>
      <c r="K38" s="167">
        <f>IFERROR(HistoricalFS!K89/HistoricalFS!K6,0)</f>
        <v>0.18125271452503566</v>
      </c>
      <c r="L38" s="156"/>
      <c r="M38" s="167">
        <f t="shared" si="2"/>
        <v>0.18481542350831542</v>
      </c>
      <c r="N38" s="167">
        <f t="shared" si="1"/>
        <v>0.18125271452503566</v>
      </c>
    </row>
    <row r="39" spans="2:14" x14ac:dyDescent="0.3">
      <c r="B39" t="s">
        <v>332</v>
      </c>
      <c r="C39" s="27">
        <f>IFERROR(HistoricalFS!C89/HistoricalFS!C72,0)</f>
        <v>0.38601500391893406</v>
      </c>
      <c r="D39" s="27">
        <f>IFERROR(HistoricalFS!D89/HistoricalFS!D72,0)</f>
        <v>0.29298405711525044</v>
      </c>
      <c r="E39" s="27">
        <f>IFERROR(HistoricalFS!E89/HistoricalFS!E72,0)</f>
        <v>0.39865032501364561</v>
      </c>
      <c r="F39" s="27">
        <f>IFERROR(HistoricalFS!F89/HistoricalFS!F72,0)</f>
        <v>0.13183008437590923</v>
      </c>
      <c r="G39" s="27">
        <f>IFERROR(HistoricalFS!G89/HistoricalFS!G72,0)</f>
        <v>0.1141463137888974</v>
      </c>
      <c r="H39" s="27">
        <f>IFERROR(HistoricalFS!H89/HistoricalFS!H72,0)</f>
        <v>0.12358197517686824</v>
      </c>
      <c r="I39" s="27">
        <f>IFERROR(HistoricalFS!I89/HistoricalFS!I72,0)</f>
        <v>0.21381340060390627</v>
      </c>
      <c r="J39" s="27">
        <f>IFERROR(HistoricalFS!J89/HistoricalFS!J72,0)</f>
        <v>0.13896297409313449</v>
      </c>
      <c r="K39" s="27">
        <f>IFERROR(HistoricalFS!K89/HistoricalFS!K72,0)</f>
        <v>0.14654242644661267</v>
      </c>
      <c r="M39" s="27">
        <f t="shared" si="2"/>
        <v>0.21628072894812872</v>
      </c>
      <c r="N39" s="27">
        <f t="shared" si="1"/>
        <v>0.14654242644661267</v>
      </c>
    </row>
    <row r="40" spans="2:14" x14ac:dyDescent="0.3">
      <c r="B40" s="159" t="s">
        <v>333</v>
      </c>
      <c r="C40" s="170">
        <f>IFERROR(HistoricalFS!C89/HistoricalFS!C57,0)</f>
        <v>0</v>
      </c>
      <c r="D40" s="170">
        <f>IFERROR(HistoricalFS!D89/HistoricalFS!D57,0)</f>
        <v>55.131313131313128</v>
      </c>
      <c r="E40" s="170">
        <f>IFERROR(HistoricalFS!E89/HistoricalFS!E57,0)</f>
        <v>0</v>
      </c>
      <c r="F40" s="170">
        <f>IFERROR(HistoricalFS!F89/HistoricalFS!F57,0)</f>
        <v>0</v>
      </c>
      <c r="G40" s="170">
        <f>IFERROR(HistoricalFS!G89/HistoricalFS!G57,0)</f>
        <v>7.7162032598274211</v>
      </c>
      <c r="H40" s="170">
        <f>IFERROR(HistoricalFS!H89/HistoricalFS!H57,0)</f>
        <v>7.4085315832649714</v>
      </c>
      <c r="I40" s="170">
        <f>IFERROR(HistoricalFS!I89/HistoricalFS!I57,0)</f>
        <v>11.308625336927223</v>
      </c>
      <c r="J40" s="170">
        <f>IFERROR(HistoricalFS!J89/HistoricalFS!J57,0)</f>
        <v>6.7342233009708741</v>
      </c>
      <c r="K40" s="170">
        <f>IFERROR(HistoricalFS!K89/HistoricalFS!K57,0)</f>
        <v>7.9059539918809199</v>
      </c>
      <c r="L40" s="159"/>
      <c r="M40" s="170">
        <f t="shared" si="2"/>
        <v>10.689427844909392</v>
      </c>
      <c r="N40" s="170">
        <f t="shared" si="1"/>
        <v>7.4085315832649714</v>
      </c>
    </row>
  </sheetData>
  <mergeCells count="1">
    <mergeCell ref="B2:N2"/>
  </mergeCells>
  <pageMargins left="0.7" right="0.7" top="0.75" bottom="0.75" header="0.3" footer="0.3"/>
  <pageSetup paperSize="9" scale="70" fitToHeight="0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F508A34-515B-4FB8-8252-62E1033E2EA0}">
          <x14:colorSeries theme="4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Analysis'!D5:K5</xm:f>
              <xm:sqref>L5</xm:sqref>
            </x14:sparkline>
            <x14:sparkline>
              <xm:f>'Ratio Analysis'!D6:K6</xm:f>
              <xm:sqref>L6</xm:sqref>
            </x14:sparkline>
            <x14:sparkline>
              <xm:f>'Ratio Analysis'!D7:K7</xm:f>
              <xm:sqref>L7</xm:sqref>
            </x14:sparkline>
            <x14:sparkline>
              <xm:f>'Ratio Analysis'!D8:K8</xm:f>
              <xm:sqref>L8</xm:sqref>
            </x14:sparkline>
            <x14:sparkline>
              <xm:f>'Ratio Analysis'!D9:K9</xm:f>
              <xm:sqref>L9</xm:sqref>
            </x14:sparkline>
          </x14:sparklines>
        </x14:sparklineGroup>
        <x14:sparklineGroup displayEmptyCellsAs="gap" markers="1" xr2:uid="{43CE2EE6-FA36-4F83-A934-2EE08624DDDF}">
          <x14:colorSeries theme="4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Analysis'!C11:K11</xm:f>
              <xm:sqref>L11</xm:sqref>
            </x14:sparkline>
            <x14:sparkline>
              <xm:f>'Ratio Analysis'!C12:K12</xm:f>
              <xm:sqref>L12</xm:sqref>
            </x14:sparkline>
            <x14:sparkline>
              <xm:f>'Ratio Analysis'!C13:K13</xm:f>
              <xm:sqref>L13</xm:sqref>
            </x14:sparkline>
            <x14:sparkline>
              <xm:f>'Ratio Analysis'!C14:K14</xm:f>
              <xm:sqref>L14</xm:sqref>
            </x14:sparkline>
            <x14:sparkline>
              <xm:f>'Ratio Analysis'!C15:K15</xm:f>
              <xm:sqref>L15</xm:sqref>
            </x14:sparkline>
            <x14:sparkline>
              <xm:f>'Ratio Analysis'!C16:K16</xm:f>
              <xm:sqref>L16</xm:sqref>
            </x14:sparkline>
            <x14:sparkline>
              <xm:f>'Ratio Analysis'!C17:K17</xm:f>
              <xm:sqref>L17</xm:sqref>
            </x14:sparkline>
            <x14:sparkline>
              <xm:f>'Ratio Analysis'!C18:K18</xm:f>
              <xm:sqref>L18</xm:sqref>
            </x14:sparkline>
            <x14:sparkline>
              <xm:f>'Ratio Analysis'!C19:K19</xm:f>
              <xm:sqref>L19</xm:sqref>
            </x14:sparkline>
            <x14:sparkline>
              <xm:f>'Ratio Analysis'!C20:K20</xm:f>
              <xm:sqref>L20</xm:sqref>
            </x14:sparkline>
            <x14:sparkline>
              <xm:f>'Ratio Analysis'!C21:K21</xm:f>
              <xm:sqref>L21</xm:sqref>
            </x14:sparkline>
            <x14:sparkline>
              <xm:f>'Ratio Analysis'!C22:K22</xm:f>
              <xm:sqref>L22</xm:sqref>
            </x14:sparkline>
            <x14:sparkline>
              <xm:f>'Ratio Analysis'!C23:K23</xm:f>
              <xm:sqref>L23</xm:sqref>
            </x14:sparkline>
            <x14:sparkline>
              <xm:f>'Ratio Analysis'!C24:K24</xm:f>
              <xm:sqref>L24</xm:sqref>
            </x14:sparkline>
            <x14:sparkline>
              <xm:f>'Ratio Analysis'!C25:K25</xm:f>
              <xm:sqref>L25</xm:sqref>
            </x14:sparkline>
            <x14:sparkline>
              <xm:f>'Ratio Analysis'!C26:K26</xm:f>
              <xm:sqref>L26</xm:sqref>
            </x14:sparkline>
            <x14:sparkline>
              <xm:f>'Ratio Analysis'!C27:K27</xm:f>
              <xm:sqref>L27</xm:sqref>
            </x14:sparkline>
            <x14:sparkline>
              <xm:f>'Ratio Analysis'!C28:K28</xm:f>
              <xm:sqref>L28</xm:sqref>
            </x14:sparkline>
            <x14:sparkline>
              <xm:f>'Ratio Analysis'!C29:K29</xm:f>
              <xm:sqref>L29</xm:sqref>
            </x14:sparkline>
            <x14:sparkline>
              <xm:f>'Ratio Analysis'!C30:K30</xm:f>
              <xm:sqref>L30</xm:sqref>
            </x14:sparkline>
            <x14:sparkline>
              <xm:f>'Ratio Analysis'!C31:K31</xm:f>
              <xm:sqref>L31</xm:sqref>
            </x14:sparkline>
            <x14:sparkline>
              <xm:f>'Ratio Analysis'!C32:K32</xm:f>
              <xm:sqref>L32</xm:sqref>
            </x14:sparkline>
            <x14:sparkline>
              <xm:f>'Ratio Analysis'!C33:K33</xm:f>
              <xm:sqref>L33</xm:sqref>
            </x14:sparkline>
            <x14:sparkline>
              <xm:f>'Ratio Analysis'!C34:K34</xm:f>
              <xm:sqref>L34</xm:sqref>
            </x14:sparkline>
            <x14:sparkline>
              <xm:f>'Ratio Analysis'!C35:K35</xm:f>
              <xm:sqref>L35</xm:sqref>
            </x14:sparkline>
            <x14:sparkline>
              <xm:f>'Ratio Analysis'!C36:K36</xm:f>
              <xm:sqref>L36</xm:sqref>
            </x14:sparkline>
            <x14:sparkline>
              <xm:f>'Ratio Analysis'!C37:K37</xm:f>
              <xm:sqref>L37</xm:sqref>
            </x14:sparkline>
            <x14:sparkline>
              <xm:f>'Ratio Analysis'!C38:K38</xm:f>
              <xm:sqref>L38</xm:sqref>
            </x14:sparkline>
            <x14:sparkline>
              <xm:f>'Ratio Analysis'!C39:K39</xm:f>
              <xm:sqref>L39</xm:sqref>
            </x14:sparkline>
            <x14:sparkline>
              <xm:f>'Ratio Analysis'!C40:K40</xm:f>
              <xm:sqref>L40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ABA9-EA2C-4E1E-B3F6-A0961D92D697}">
  <sheetPr>
    <pageSetUpPr fitToPage="1"/>
  </sheetPr>
  <dimension ref="B2:O17"/>
  <sheetViews>
    <sheetView showGridLines="0" workbookViewId="0">
      <selection activeCell="H26" sqref="H26"/>
    </sheetView>
  </sheetViews>
  <sheetFormatPr defaultRowHeight="14.4" x14ac:dyDescent="0.3"/>
  <cols>
    <col min="1" max="1" width="1.88671875" customWidth="1"/>
    <col min="2" max="2" width="12.88671875" customWidth="1"/>
    <col min="3" max="3" width="6.109375" bestFit="1" customWidth="1"/>
    <col min="4" max="4" width="8" bestFit="1" customWidth="1"/>
    <col min="5" max="5" width="11.6640625" bestFit="1" customWidth="1"/>
    <col min="7" max="7" width="12.77734375" customWidth="1"/>
    <col min="8" max="8" width="6.109375" bestFit="1" customWidth="1"/>
    <col min="9" max="9" width="8" bestFit="1" customWidth="1"/>
    <col min="10" max="10" width="13.6640625" bestFit="1" customWidth="1"/>
    <col min="12" max="12" width="17.5546875" customWidth="1"/>
    <col min="13" max="13" width="11.21875" customWidth="1"/>
    <col min="14" max="14" width="8.88671875" customWidth="1"/>
    <col min="15" max="15" width="12.5546875" customWidth="1"/>
  </cols>
  <sheetData>
    <row r="2" spans="2:15" x14ac:dyDescent="0.3">
      <c r="B2" s="272" t="str">
        <f>'Data Sheet'!$B$1 &amp;" "&amp;  HistoricalFS!B6&amp; " Forecasting"</f>
        <v>HINDUSTAN UNILEVER LTD Sales Forecasting</v>
      </c>
      <c r="C2" s="272"/>
      <c r="D2" s="272"/>
      <c r="E2" s="272"/>
      <c r="F2" s="2"/>
      <c r="G2" s="272" t="str">
        <f>'Data Sheet'!$B$1 &amp;" "&amp;  HistoricalFS!B18&amp; " Forecasting"</f>
        <v>HINDUSTAN UNILEVER LTD EBITDA Forecasting</v>
      </c>
      <c r="H2" s="272"/>
      <c r="I2" s="272"/>
      <c r="J2" s="272"/>
      <c r="K2" s="2"/>
      <c r="L2" s="272" t="str">
        <f>'Data Sheet'!$B$1 &amp;" "&amp;  HistoricalFS!B41&amp; "Forecasting"</f>
        <v>HINDUSTAN UNILEVER LTD Earning per Share Forecasting</v>
      </c>
      <c r="M2" s="272"/>
      <c r="N2" s="272"/>
      <c r="O2" s="272"/>
    </row>
    <row r="3" spans="2:15" x14ac:dyDescent="0.3">
      <c r="B3" s="171" t="s">
        <v>334</v>
      </c>
      <c r="C3" s="171" t="s">
        <v>215</v>
      </c>
      <c r="D3" s="171" t="s">
        <v>1</v>
      </c>
      <c r="E3" s="171" t="s">
        <v>10</v>
      </c>
      <c r="G3" s="171" t="s">
        <v>334</v>
      </c>
      <c r="H3" s="171" t="s">
        <v>215</v>
      </c>
      <c r="I3" s="171" t="s">
        <v>65</v>
      </c>
      <c r="J3" s="171" t="s">
        <v>306</v>
      </c>
      <c r="L3" s="171" t="s">
        <v>334</v>
      </c>
      <c r="M3" s="154" t="s">
        <v>215</v>
      </c>
      <c r="N3" s="171" t="s">
        <v>335</v>
      </c>
      <c r="O3" s="171" t="s">
        <v>336</v>
      </c>
    </row>
    <row r="4" spans="2:15" x14ac:dyDescent="0.3">
      <c r="B4" s="180">
        <v>1</v>
      </c>
      <c r="C4" s="181">
        <f>IFERROR('Data Sheet'!$C$16,0)</f>
        <v>43190</v>
      </c>
      <c r="D4" s="182">
        <f t="array" ref="D4:D12">TRANSPOSE('Data Sheet'!C17:K17)</f>
        <v>35545</v>
      </c>
      <c r="E4" s="183"/>
      <c r="G4" s="180">
        <v>1</v>
      </c>
      <c r="H4" s="181">
        <f>IFERROR(C4,0)</f>
        <v>43190</v>
      </c>
      <c r="I4" s="182">
        <f t="array" ref="I4:I12">TRANSPOSE(HistoricalFS!C18:L18)</f>
        <v>7499</v>
      </c>
      <c r="J4" s="183"/>
      <c r="L4" s="180">
        <v>1</v>
      </c>
      <c r="M4" s="181">
        <f>IFERROR(H4,0)</f>
        <v>43190</v>
      </c>
      <c r="N4" s="182">
        <f t="array" ref="N4:N12">TRANSPOSE(HistoricalFS!C41:L41)</f>
        <v>22.519983366446425</v>
      </c>
      <c r="O4" s="183"/>
    </row>
    <row r="5" spans="2:15" x14ac:dyDescent="0.3">
      <c r="B5" s="180">
        <f>B4+1</f>
        <v>2</v>
      </c>
      <c r="C5" s="181">
        <f>IFERROR(C4+365,0)</f>
        <v>43555</v>
      </c>
      <c r="D5" s="182">
        <v>39310</v>
      </c>
      <c r="E5" s="184">
        <f>D5/D4-1</f>
        <v>0.1059220706147137</v>
      </c>
      <c r="G5" s="180">
        <f>G4+1</f>
        <v>2</v>
      </c>
      <c r="H5" s="181">
        <f t="shared" ref="H5:H17" si="0">IFERROR(C5,0)</f>
        <v>43555</v>
      </c>
      <c r="I5" s="182">
        <v>8880</v>
      </c>
      <c r="J5" s="184">
        <f>I5/I4-1</f>
        <v>0.1841578877183625</v>
      </c>
      <c r="L5" s="180">
        <f>L4+1</f>
        <v>2</v>
      </c>
      <c r="M5" s="181">
        <f t="shared" ref="M5:M17" si="1">IFERROR(H5,0)</f>
        <v>43555</v>
      </c>
      <c r="N5" s="182">
        <v>26.509586509586512</v>
      </c>
      <c r="O5" s="184">
        <f>IFERROR(N5/N4-1,0)</f>
        <v>0.1771583521275768</v>
      </c>
    </row>
    <row r="6" spans="2:15" x14ac:dyDescent="0.3">
      <c r="B6" s="180">
        <f t="shared" ref="B6:B17" si="2">B5+1</f>
        <v>3</v>
      </c>
      <c r="C6" s="181">
        <f t="shared" ref="C6:C17" si="3">IFERROR(C5+365,0)</f>
        <v>43920</v>
      </c>
      <c r="D6" s="182">
        <v>39783</v>
      </c>
      <c r="E6" s="184">
        <f t="shared" ref="E6:E17" si="4">D6/D5-1</f>
        <v>1.2032561689137689E-2</v>
      </c>
      <c r="G6" s="180">
        <f t="shared" ref="G6:G17" si="5">G5+1</f>
        <v>3</v>
      </c>
      <c r="H6" s="181">
        <f t="shared" si="0"/>
        <v>43920</v>
      </c>
      <c r="I6" s="182">
        <v>9861</v>
      </c>
      <c r="J6" s="184">
        <f t="shared" ref="J6:J17" si="6">I6/I5-1</f>
        <v>0.11047297297297298</v>
      </c>
      <c r="L6" s="180">
        <f t="shared" ref="L6:L17" si="7">L5+1</f>
        <v>3</v>
      </c>
      <c r="M6" s="181">
        <f t="shared" si="1"/>
        <v>43920</v>
      </c>
      <c r="N6" s="182">
        <v>29.251166443387074</v>
      </c>
      <c r="O6" s="184">
        <f t="shared" ref="O6:O17" si="8">IFERROR(N6/N5-1,0)</f>
        <v>0.10341843441462739</v>
      </c>
    </row>
    <row r="7" spans="2:15" x14ac:dyDescent="0.3">
      <c r="B7" s="180">
        <f t="shared" si="2"/>
        <v>4</v>
      </c>
      <c r="C7" s="181">
        <f t="shared" si="3"/>
        <v>44285</v>
      </c>
      <c r="D7" s="182">
        <v>47028</v>
      </c>
      <c r="E7" s="184">
        <f t="shared" si="4"/>
        <v>0.18211296282331646</v>
      </c>
      <c r="G7" s="180">
        <f t="shared" si="5"/>
        <v>4</v>
      </c>
      <c r="H7" s="181">
        <f t="shared" si="0"/>
        <v>44285</v>
      </c>
      <c r="I7" s="182">
        <v>11626</v>
      </c>
      <c r="J7" s="184">
        <f t="shared" si="6"/>
        <v>0.1789879322583916</v>
      </c>
      <c r="L7" s="180">
        <f t="shared" si="7"/>
        <v>4</v>
      </c>
      <c r="M7" s="181">
        <f t="shared" si="1"/>
        <v>44285</v>
      </c>
      <c r="N7" s="182">
        <v>36.1650036954915</v>
      </c>
      <c r="O7" s="184">
        <f t="shared" si="8"/>
        <v>0.23636107864230027</v>
      </c>
    </row>
    <row r="8" spans="2:15" x14ac:dyDescent="0.3">
      <c r="B8" s="180">
        <f t="shared" si="2"/>
        <v>5</v>
      </c>
      <c r="C8" s="181">
        <f t="shared" si="3"/>
        <v>44650</v>
      </c>
      <c r="D8" s="182">
        <v>52446</v>
      </c>
      <c r="E8" s="184">
        <f t="shared" si="4"/>
        <v>0.11520796121459553</v>
      </c>
      <c r="G8" s="180">
        <f t="shared" si="5"/>
        <v>5</v>
      </c>
      <c r="H8" s="181">
        <f t="shared" si="0"/>
        <v>44650</v>
      </c>
      <c r="I8" s="182">
        <v>12857</v>
      </c>
      <c r="J8" s="184">
        <f t="shared" si="6"/>
        <v>0.10588336487183891</v>
      </c>
      <c r="L8" s="180">
        <f t="shared" si="7"/>
        <v>5</v>
      </c>
      <c r="M8" s="181">
        <f t="shared" si="1"/>
        <v>44650</v>
      </c>
      <c r="N8" s="182">
        <v>36.912665985699689</v>
      </c>
      <c r="O8" s="184">
        <f t="shared" si="8"/>
        <v>2.0673640641751145E-2</v>
      </c>
    </row>
    <row r="9" spans="2:15" x14ac:dyDescent="0.3">
      <c r="B9" s="180">
        <f t="shared" si="2"/>
        <v>6</v>
      </c>
      <c r="C9" s="181">
        <f t="shared" si="3"/>
        <v>45015</v>
      </c>
      <c r="D9" s="182">
        <v>60580</v>
      </c>
      <c r="E9" s="184">
        <f t="shared" si="4"/>
        <v>0.15509285741524614</v>
      </c>
      <c r="G9" s="180">
        <f t="shared" si="5"/>
        <v>6</v>
      </c>
      <c r="H9" s="181">
        <f t="shared" si="0"/>
        <v>45015</v>
      </c>
      <c r="I9" s="182">
        <v>14147</v>
      </c>
      <c r="J9" s="184">
        <f t="shared" si="6"/>
        <v>0.10033444816053505</v>
      </c>
      <c r="L9" s="180">
        <f t="shared" si="7"/>
        <v>6</v>
      </c>
      <c r="M9" s="181">
        <f t="shared" si="1"/>
        <v>45015</v>
      </c>
      <c r="N9" s="182">
        <v>41.262342526387471</v>
      </c>
      <c r="O9" s="184">
        <f t="shared" si="8"/>
        <v>0.11783696529459253</v>
      </c>
    </row>
    <row r="10" spans="2:15" x14ac:dyDescent="0.3">
      <c r="B10" s="180">
        <f t="shared" si="2"/>
        <v>7</v>
      </c>
      <c r="C10" s="181">
        <f t="shared" si="3"/>
        <v>45380</v>
      </c>
      <c r="D10" s="182">
        <v>61896</v>
      </c>
      <c r="E10" s="184">
        <f t="shared" si="4"/>
        <v>2.1723341036645749E-2</v>
      </c>
      <c r="G10" s="180">
        <f t="shared" si="5"/>
        <v>7</v>
      </c>
      <c r="H10" s="181">
        <f t="shared" si="0"/>
        <v>45380</v>
      </c>
      <c r="I10" s="182">
        <v>14659</v>
      </c>
      <c r="J10" s="184">
        <f t="shared" si="6"/>
        <v>3.6191418675337594E-2</v>
      </c>
      <c r="L10" s="180">
        <f t="shared" si="7"/>
        <v>7</v>
      </c>
      <c r="M10" s="181">
        <f t="shared" si="1"/>
        <v>45380</v>
      </c>
      <c r="N10" s="182">
        <v>40.283452502553622</v>
      </c>
      <c r="O10" s="184">
        <f t="shared" si="8"/>
        <v>-2.3723568849922771E-2</v>
      </c>
    </row>
    <row r="11" spans="2:15" x14ac:dyDescent="0.3">
      <c r="B11" s="180">
        <f t="shared" si="2"/>
        <v>8</v>
      </c>
      <c r="C11" s="181">
        <f t="shared" si="3"/>
        <v>45745</v>
      </c>
      <c r="D11" s="182">
        <v>61328</v>
      </c>
      <c r="E11" s="184">
        <f t="shared" si="4"/>
        <v>-9.1766834690448773E-3</v>
      </c>
      <c r="G11" s="180">
        <f t="shared" si="5"/>
        <v>8</v>
      </c>
      <c r="H11" s="181">
        <f t="shared" si="0"/>
        <v>45745</v>
      </c>
      <c r="I11" s="182">
        <v>14698</v>
      </c>
      <c r="J11" s="184">
        <f t="shared" si="6"/>
        <v>2.660481615389898E-3</v>
      </c>
      <c r="L11" s="180">
        <f t="shared" si="7"/>
        <v>8</v>
      </c>
      <c r="M11" s="181">
        <f t="shared" si="1"/>
        <v>45745</v>
      </c>
      <c r="N11" s="182">
        <v>39.649302008852572</v>
      </c>
      <c r="O11" s="184">
        <f t="shared" si="8"/>
        <v>-1.574220813523497E-2</v>
      </c>
    </row>
    <row r="12" spans="2:15" x14ac:dyDescent="0.3">
      <c r="B12" s="180">
        <f t="shared" si="2"/>
        <v>9</v>
      </c>
      <c r="C12" s="181">
        <f t="shared" si="3"/>
        <v>46110</v>
      </c>
      <c r="D12" s="182">
        <v>64468</v>
      </c>
      <c r="E12" s="184">
        <f t="shared" si="4"/>
        <v>5.1200104356900589E-2</v>
      </c>
      <c r="G12" s="180">
        <f t="shared" si="5"/>
        <v>9</v>
      </c>
      <c r="H12" s="181">
        <f t="shared" si="0"/>
        <v>46110</v>
      </c>
      <c r="I12" s="182">
        <v>15039</v>
      </c>
      <c r="J12" s="184">
        <f t="shared" si="6"/>
        <v>2.3200435433392341E-2</v>
      </c>
      <c r="L12" s="180">
        <f t="shared" si="7"/>
        <v>9</v>
      </c>
      <c r="M12" s="181">
        <f t="shared" si="1"/>
        <v>46110</v>
      </c>
      <c r="N12" s="182">
        <v>43.139257745999316</v>
      </c>
      <c r="O12" s="184">
        <f t="shared" si="8"/>
        <v>8.8020609703735486E-2</v>
      </c>
    </row>
    <row r="13" spans="2:15" x14ac:dyDescent="0.3">
      <c r="B13" s="185">
        <f t="shared" si="2"/>
        <v>10</v>
      </c>
      <c r="C13" s="186">
        <f t="shared" si="3"/>
        <v>46475</v>
      </c>
      <c r="D13" s="187">
        <f>FORECAST(B13,$D$4:$D$12,$B$4:$B$12)</f>
        <v>71336.333333333328</v>
      </c>
      <c r="E13" s="188">
        <f t="shared" si="4"/>
        <v>0.10653864449546013</v>
      </c>
      <c r="G13" s="185">
        <f t="shared" si="5"/>
        <v>10</v>
      </c>
      <c r="H13" s="186">
        <f t="shared" si="0"/>
        <v>46475</v>
      </c>
      <c r="I13" s="187">
        <f>FORECAST(G13,$I$4:$I$12,$G$4:$G$12)</f>
        <v>17118.25</v>
      </c>
      <c r="J13" s="188">
        <f t="shared" si="6"/>
        <v>0.13825719795199154</v>
      </c>
      <c r="L13" s="185">
        <f t="shared" si="7"/>
        <v>10</v>
      </c>
      <c r="M13" s="186">
        <f t="shared" si="1"/>
        <v>46475</v>
      </c>
      <c r="N13" s="187">
        <f>FORECAST(L13,$N$4:$N$12,$L$4:$L$12)</f>
        <v>47.498486334259255</v>
      </c>
      <c r="O13" s="188">
        <f t="shared" si="8"/>
        <v>0.10105015283125041</v>
      </c>
    </row>
    <row r="14" spans="2:15" x14ac:dyDescent="0.3">
      <c r="B14" s="185">
        <f t="shared" si="2"/>
        <v>11</v>
      </c>
      <c r="C14" s="186">
        <f t="shared" si="3"/>
        <v>46840</v>
      </c>
      <c r="D14" s="187">
        <f t="shared" ref="D14:D17" si="9">FORECAST(B14,$D$4:$D$12,$B$4:$B$12)</f>
        <v>75328.399999999994</v>
      </c>
      <c r="E14" s="188">
        <f t="shared" si="4"/>
        <v>5.5961197893546588E-2</v>
      </c>
      <c r="G14" s="185">
        <f t="shared" si="5"/>
        <v>11</v>
      </c>
      <c r="H14" s="186">
        <f t="shared" si="0"/>
        <v>46840</v>
      </c>
      <c r="I14" s="187">
        <f t="shared" ref="I14:I17" si="10">FORECAST(G14,$I$4:$I$12,$G$4:$G$12)</f>
        <v>18113.766666666666</v>
      </c>
      <c r="J14" s="188">
        <f t="shared" si="6"/>
        <v>5.8155282617479376E-2</v>
      </c>
      <c r="L14" s="185">
        <f t="shared" si="7"/>
        <v>11</v>
      </c>
      <c r="M14" s="186">
        <f t="shared" si="1"/>
        <v>46840</v>
      </c>
      <c r="N14" s="187">
        <f t="shared" ref="N14:N17" si="11">FORECAST(L14,$N$4:$N$12,$L$4:$L$12)</f>
        <v>49.982788917013238</v>
      </c>
      <c r="O14" s="188">
        <f t="shared" si="8"/>
        <v>5.23027737193833E-2</v>
      </c>
    </row>
    <row r="15" spans="2:15" x14ac:dyDescent="0.3">
      <c r="B15" s="185">
        <f t="shared" si="2"/>
        <v>12</v>
      </c>
      <c r="C15" s="186">
        <f t="shared" si="3"/>
        <v>47205</v>
      </c>
      <c r="D15" s="187">
        <f t="shared" si="9"/>
        <v>79320.466666666674</v>
      </c>
      <c r="E15" s="188">
        <f t="shared" si="4"/>
        <v>5.2995505900386597E-2</v>
      </c>
      <c r="G15" s="185">
        <f t="shared" si="5"/>
        <v>12</v>
      </c>
      <c r="H15" s="186">
        <f t="shared" si="0"/>
        <v>47205</v>
      </c>
      <c r="I15" s="187">
        <f t="shared" si="10"/>
        <v>19109.283333333333</v>
      </c>
      <c r="J15" s="188">
        <f t="shared" si="6"/>
        <v>5.4959119491068575E-2</v>
      </c>
      <c r="L15" s="185">
        <f t="shared" si="7"/>
        <v>12</v>
      </c>
      <c r="M15" s="186">
        <f t="shared" si="1"/>
        <v>47205</v>
      </c>
      <c r="N15" s="187">
        <f t="shared" si="11"/>
        <v>52.467091499767221</v>
      </c>
      <c r="O15" s="188">
        <f t="shared" si="8"/>
        <v>4.9703160559501525E-2</v>
      </c>
    </row>
    <row r="16" spans="2:15" x14ac:dyDescent="0.3">
      <c r="B16" s="185">
        <f t="shared" si="2"/>
        <v>13</v>
      </c>
      <c r="C16" s="186">
        <f t="shared" si="3"/>
        <v>47570</v>
      </c>
      <c r="D16" s="187">
        <f t="shared" si="9"/>
        <v>83312.53333333334</v>
      </c>
      <c r="E16" s="188">
        <f t="shared" si="4"/>
        <v>5.0328330561175028E-2</v>
      </c>
      <c r="G16" s="185">
        <f t="shared" si="5"/>
        <v>13</v>
      </c>
      <c r="H16" s="186">
        <f t="shared" si="0"/>
        <v>47570</v>
      </c>
      <c r="I16" s="187">
        <f t="shared" si="10"/>
        <v>20104.8</v>
      </c>
      <c r="J16" s="188">
        <f t="shared" si="6"/>
        <v>5.2095970806510294E-2</v>
      </c>
      <c r="L16" s="185">
        <f t="shared" si="7"/>
        <v>13</v>
      </c>
      <c r="M16" s="186">
        <f t="shared" si="1"/>
        <v>47570</v>
      </c>
      <c r="N16" s="187">
        <f t="shared" si="11"/>
        <v>54.951394082521198</v>
      </c>
      <c r="O16" s="188">
        <f t="shared" si="8"/>
        <v>4.7349729358735271E-2</v>
      </c>
    </row>
    <row r="17" spans="2:15" x14ac:dyDescent="0.3">
      <c r="B17" s="185">
        <f t="shared" si="2"/>
        <v>14</v>
      </c>
      <c r="C17" s="186">
        <f t="shared" si="3"/>
        <v>47935</v>
      </c>
      <c r="D17" s="187">
        <f t="shared" si="9"/>
        <v>87304.6</v>
      </c>
      <c r="E17" s="188">
        <f t="shared" si="4"/>
        <v>4.7916760023301697E-2</v>
      </c>
      <c r="G17" s="185">
        <f t="shared" si="5"/>
        <v>14</v>
      </c>
      <c r="H17" s="186">
        <f t="shared" si="0"/>
        <v>47935</v>
      </c>
      <c r="I17" s="187">
        <f t="shared" si="10"/>
        <v>21100.316666666666</v>
      </c>
      <c r="J17" s="188">
        <f t="shared" si="6"/>
        <v>4.9516367567280728E-2</v>
      </c>
      <c r="L17" s="185">
        <f t="shared" si="7"/>
        <v>14</v>
      </c>
      <c r="M17" s="186">
        <f t="shared" si="1"/>
        <v>47935</v>
      </c>
      <c r="N17" s="187">
        <f t="shared" si="11"/>
        <v>57.435696665275181</v>
      </c>
      <c r="O17" s="188">
        <f t="shared" si="8"/>
        <v>4.5209091129212675E-2</v>
      </c>
    </row>
  </sheetData>
  <mergeCells count="3">
    <mergeCell ref="B2:E2"/>
    <mergeCell ref="G2:J2"/>
    <mergeCell ref="L2:O2"/>
  </mergeCells>
  <pageMargins left="0.7" right="0.7" top="0.75" bottom="0.75" header="0.3" footer="0.3"/>
  <pageSetup paperSize="9" scale="5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C1D4-5442-478D-8FC4-675EDF0AD525}">
  <sheetPr>
    <tabColor rgb="FF002060"/>
  </sheetPr>
  <dimension ref="A1"/>
  <sheetViews>
    <sheetView showGridLines="0" workbookViewId="0"/>
  </sheetViews>
  <sheetFormatPr defaultRowHeight="14.4" x14ac:dyDescent="0.3"/>
  <cols>
    <col min="1" max="1" width="1.88671875" customWidth="1"/>
  </cols>
  <sheetData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K93"/>
  <sheetViews>
    <sheetView zoomScale="120" zoomScaleNormal="120" zoomScalePageLayoutView="120" workbookViewId="0">
      <pane xSplit="1" ySplit="1" topLeftCell="B11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33</v>
      </c>
      <c r="E1" s="273" t="str">
        <f>IF(B2&lt;&gt;B3, "A NEW VERSION OF THE WORKSHEET IS AVAILABLE", "")</f>
        <v/>
      </c>
      <c r="F1" s="273"/>
      <c r="G1" s="273"/>
      <c r="H1" s="273"/>
      <c r="I1" s="273"/>
      <c r="J1" s="273"/>
      <c r="K1" s="273"/>
    </row>
    <row r="2" spans="1:11" x14ac:dyDescent="0.3">
      <c r="A2" s="1" t="s">
        <v>31</v>
      </c>
      <c r="B2" s="3">
        <v>2.1</v>
      </c>
      <c r="E2" s="274" t="s">
        <v>22</v>
      </c>
      <c r="F2" s="274"/>
      <c r="G2" s="274"/>
      <c r="H2" s="274"/>
      <c r="I2" s="274"/>
      <c r="J2" s="274"/>
      <c r="K2" s="274"/>
    </row>
    <row r="3" spans="1:11" x14ac:dyDescent="0.3">
      <c r="A3" s="1" t="s">
        <v>32</v>
      </c>
      <c r="B3" s="3">
        <v>2.1</v>
      </c>
    </row>
    <row r="4" spans="1:11" x14ac:dyDescent="0.3">
      <c r="A4" s="1"/>
    </row>
    <row r="5" spans="1:11" x14ac:dyDescent="0.3">
      <c r="A5" s="1" t="s">
        <v>34</v>
      </c>
    </row>
    <row r="6" spans="1:11" x14ac:dyDescent="0.3">
      <c r="A6" s="3" t="s">
        <v>28</v>
      </c>
      <c r="B6" s="3">
        <f>IF(B9&gt;0, B9/B8, 0)</f>
        <v>234.95911653266799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2164.1999999999998</v>
      </c>
    </row>
    <row r="9" spans="1:11" x14ac:dyDescent="0.3">
      <c r="A9" s="3" t="s">
        <v>44</v>
      </c>
      <c r="B9">
        <v>508498.52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 s="5" customFormat="1" x14ac:dyDescent="0.3">
      <c r="A17" s="5" t="s">
        <v>1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61328</v>
      </c>
      <c r="K17">
        <v>64468</v>
      </c>
    </row>
    <row r="18" spans="1:11" s="5" customFormat="1" x14ac:dyDescent="0.3">
      <c r="A18" s="3" t="s">
        <v>45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26602</v>
      </c>
      <c r="K18">
        <v>29158</v>
      </c>
    </row>
    <row r="19" spans="1:11" s="5" customFormat="1" x14ac:dyDescent="0.3">
      <c r="A19" s="3" t="s">
        <v>46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125</v>
      </c>
      <c r="K19">
        <v>429</v>
      </c>
    </row>
    <row r="20" spans="1:11" s="5" customFormat="1" x14ac:dyDescent="0.3">
      <c r="A20" s="3" t="s">
        <v>47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403</v>
      </c>
      <c r="K20">
        <v>426</v>
      </c>
    </row>
    <row r="21" spans="1:11" s="5" customFormat="1" x14ac:dyDescent="0.3">
      <c r="A21" s="3" t="s">
        <v>48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3687</v>
      </c>
      <c r="K21">
        <v>3304</v>
      </c>
    </row>
    <row r="22" spans="1:11" s="5" customFormat="1" x14ac:dyDescent="0.3">
      <c r="A22" s="3" t="s">
        <v>49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2952</v>
      </c>
      <c r="K22">
        <v>3175</v>
      </c>
    </row>
    <row r="23" spans="1:11" s="5" customFormat="1" x14ac:dyDescent="0.3">
      <c r="A23" s="3" t="s">
        <v>50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10145</v>
      </c>
      <c r="K23">
        <v>10744</v>
      </c>
    </row>
    <row r="24" spans="1:11" s="5" customFormat="1" x14ac:dyDescent="0.3">
      <c r="A24" s="3" t="s">
        <v>51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2966</v>
      </c>
      <c r="K24">
        <v>3051</v>
      </c>
    </row>
    <row r="25" spans="1:11" s="5" customFormat="1" x14ac:dyDescent="0.3">
      <c r="A25" s="5" t="s">
        <v>4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1355</v>
      </c>
      <c r="K25">
        <v>4923</v>
      </c>
    </row>
    <row r="26" spans="1:11" s="5" customFormat="1" x14ac:dyDescent="0.3">
      <c r="A26" s="5" t="s">
        <v>5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1253</v>
      </c>
      <c r="K26">
        <v>1333</v>
      </c>
    </row>
    <row r="27" spans="1:11" s="5" customFormat="1" x14ac:dyDescent="0.3">
      <c r="A27" s="5" t="s">
        <v>6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381</v>
      </c>
      <c r="K27">
        <v>410</v>
      </c>
    </row>
    <row r="28" spans="1:11" s="5" customFormat="1" x14ac:dyDescent="0.3">
      <c r="A28" s="5" t="s">
        <v>7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14419</v>
      </c>
      <c r="K28">
        <v>18219</v>
      </c>
    </row>
    <row r="29" spans="1:11" s="5" customFormat="1" x14ac:dyDescent="0.3">
      <c r="A29" s="5" t="s">
        <v>8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3748</v>
      </c>
      <c r="K29">
        <v>3160</v>
      </c>
    </row>
    <row r="30" spans="1:11" s="5" customFormat="1" x14ac:dyDescent="0.3">
      <c r="A30" s="5" t="s">
        <v>9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pans="1:11" s="5" customFormat="1" x14ac:dyDescent="0.3">
      <c r="A31" s="5" t="s">
        <v>35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45291</v>
      </c>
      <c r="C41" s="6">
        <v>45382</v>
      </c>
      <c r="D41" s="6">
        <v>45473</v>
      </c>
      <c r="E41" s="6">
        <v>45565</v>
      </c>
      <c r="F41" s="6">
        <v>45657</v>
      </c>
      <c r="G41" s="6">
        <v>45747</v>
      </c>
      <c r="H41" s="6">
        <v>45838</v>
      </c>
      <c r="I41" s="6">
        <v>45930</v>
      </c>
      <c r="J41" s="6">
        <v>46022</v>
      </c>
      <c r="K41" s="6">
        <v>46112</v>
      </c>
    </row>
    <row r="42" spans="1:11" s="5" customFormat="1" x14ac:dyDescent="0.3">
      <c r="A42" s="5" t="s">
        <v>1</v>
      </c>
      <c r="B42">
        <v>15567</v>
      </c>
      <c r="C42">
        <v>15210</v>
      </c>
      <c r="D42">
        <v>15707</v>
      </c>
      <c r="E42">
        <v>15926</v>
      </c>
      <c r="F42">
        <v>15556</v>
      </c>
      <c r="G42">
        <v>15190</v>
      </c>
      <c r="H42">
        <v>16514</v>
      </c>
      <c r="I42">
        <v>15919</v>
      </c>
      <c r="J42">
        <v>16441</v>
      </c>
      <c r="K42">
        <v>16351</v>
      </c>
    </row>
    <row r="43" spans="1:11" s="5" customFormat="1" x14ac:dyDescent="0.3">
      <c r="A43" s="5" t="s">
        <v>2</v>
      </c>
      <c r="B43">
        <v>11902</v>
      </c>
      <c r="C43">
        <v>11675</v>
      </c>
      <c r="D43">
        <v>11965</v>
      </c>
      <c r="E43">
        <v>12139</v>
      </c>
      <c r="F43">
        <v>11867</v>
      </c>
      <c r="G43">
        <v>11572</v>
      </c>
      <c r="H43">
        <v>12797</v>
      </c>
      <c r="I43">
        <v>12137</v>
      </c>
      <c r="J43">
        <v>12660</v>
      </c>
      <c r="K43">
        <v>12514</v>
      </c>
    </row>
    <row r="44" spans="1:11" s="5" customFormat="1" x14ac:dyDescent="0.3">
      <c r="A44" s="5" t="s">
        <v>4</v>
      </c>
      <c r="B44">
        <v>184</v>
      </c>
      <c r="C44">
        <v>309</v>
      </c>
      <c r="D44">
        <v>209</v>
      </c>
      <c r="E44">
        <v>203</v>
      </c>
      <c r="F44">
        <v>733</v>
      </c>
      <c r="G44">
        <v>149</v>
      </c>
      <c r="H44">
        <v>74</v>
      </c>
      <c r="I44">
        <v>269</v>
      </c>
      <c r="J44">
        <v>4048</v>
      </c>
      <c r="K44">
        <v>503</v>
      </c>
    </row>
    <row r="45" spans="1:11" s="5" customFormat="1" x14ac:dyDescent="0.3">
      <c r="A45" s="5" t="s">
        <v>5</v>
      </c>
      <c r="B45">
        <v>313</v>
      </c>
      <c r="C45">
        <v>320</v>
      </c>
      <c r="D45">
        <v>329</v>
      </c>
      <c r="E45">
        <v>338</v>
      </c>
      <c r="F45">
        <v>318</v>
      </c>
      <c r="G45">
        <v>318</v>
      </c>
      <c r="H45">
        <v>361</v>
      </c>
      <c r="I45">
        <v>322</v>
      </c>
      <c r="J45">
        <v>337</v>
      </c>
      <c r="K45">
        <v>348</v>
      </c>
    </row>
    <row r="46" spans="1:11" s="5" customFormat="1" x14ac:dyDescent="0.3">
      <c r="A46" s="5" t="s">
        <v>6</v>
      </c>
      <c r="B46">
        <v>91</v>
      </c>
      <c r="C46">
        <v>105</v>
      </c>
      <c r="D46">
        <v>93</v>
      </c>
      <c r="E46">
        <v>110</v>
      </c>
      <c r="F46">
        <v>109</v>
      </c>
      <c r="G46">
        <v>77</v>
      </c>
      <c r="H46">
        <v>127</v>
      </c>
      <c r="I46">
        <v>124</v>
      </c>
      <c r="J46">
        <v>88</v>
      </c>
      <c r="K46">
        <v>76</v>
      </c>
    </row>
    <row r="47" spans="1:11" s="5" customFormat="1" x14ac:dyDescent="0.3">
      <c r="A47" s="5" t="s">
        <v>7</v>
      </c>
      <c r="B47">
        <v>3445</v>
      </c>
      <c r="C47">
        <v>3419</v>
      </c>
      <c r="D47">
        <v>3529</v>
      </c>
      <c r="E47">
        <v>3542</v>
      </c>
      <c r="F47">
        <v>3995</v>
      </c>
      <c r="G47">
        <v>3372</v>
      </c>
      <c r="H47">
        <v>3303</v>
      </c>
      <c r="I47">
        <v>3605</v>
      </c>
      <c r="J47">
        <v>7404</v>
      </c>
      <c r="K47">
        <v>3916</v>
      </c>
    </row>
    <row r="48" spans="1:11" s="5" customFormat="1" x14ac:dyDescent="0.3">
      <c r="A48" s="5" t="s">
        <v>8</v>
      </c>
      <c r="B48">
        <v>937</v>
      </c>
      <c r="C48">
        <v>858</v>
      </c>
      <c r="D48">
        <v>917</v>
      </c>
      <c r="E48">
        <v>947</v>
      </c>
      <c r="F48">
        <v>1006</v>
      </c>
      <c r="G48">
        <v>897</v>
      </c>
      <c r="H48">
        <v>535</v>
      </c>
      <c r="I48">
        <v>911</v>
      </c>
      <c r="J48">
        <v>801</v>
      </c>
      <c r="K48">
        <v>922</v>
      </c>
    </row>
    <row r="49" spans="1:11" s="5" customFormat="1" x14ac:dyDescent="0.3">
      <c r="A49" s="5" t="s">
        <v>9</v>
      </c>
      <c r="B49">
        <v>2509</v>
      </c>
      <c r="C49">
        <v>2558</v>
      </c>
      <c r="D49">
        <v>2610</v>
      </c>
      <c r="E49">
        <v>2591</v>
      </c>
      <c r="F49">
        <v>2984</v>
      </c>
      <c r="G49">
        <v>2464</v>
      </c>
      <c r="H49">
        <v>2756</v>
      </c>
      <c r="I49">
        <v>2685</v>
      </c>
      <c r="J49">
        <v>6607</v>
      </c>
      <c r="K49">
        <v>2992</v>
      </c>
    </row>
    <row r="50" spans="1:11" x14ac:dyDescent="0.3">
      <c r="A50" s="5" t="s">
        <v>3</v>
      </c>
      <c r="B50">
        <v>3665</v>
      </c>
      <c r="C50">
        <v>3535</v>
      </c>
      <c r="D50">
        <v>3742</v>
      </c>
      <c r="E50">
        <v>3787</v>
      </c>
      <c r="F50">
        <v>3689</v>
      </c>
      <c r="G50">
        <v>3618</v>
      </c>
      <c r="H50">
        <v>3717</v>
      </c>
      <c r="I50">
        <v>3782</v>
      </c>
      <c r="J50">
        <v>3781</v>
      </c>
      <c r="K50">
        <v>3837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 x14ac:dyDescent="0.3">
      <c r="A57" s="5" t="s">
        <v>11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">
      <c r="A58" s="5" t="s">
        <v>12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spans="1:11" x14ac:dyDescent="0.3">
      <c r="A59" s="5" t="s">
        <v>36</v>
      </c>
      <c r="B59">
        <v>277</v>
      </c>
      <c r="C59"/>
      <c r="D59">
        <v>99</v>
      </c>
      <c r="E59"/>
      <c r="F59"/>
      <c r="G59">
        <v>1043</v>
      </c>
      <c r="H59">
        <v>1219</v>
      </c>
      <c r="I59">
        <v>1484</v>
      </c>
      <c r="J59">
        <v>1648</v>
      </c>
      <c r="K59">
        <v>1478</v>
      </c>
    </row>
    <row r="60" spans="1:11" x14ac:dyDescent="0.3">
      <c r="A60" s="5" t="s">
        <v>37</v>
      </c>
      <c r="B60">
        <v>8685</v>
      </c>
      <c r="C60">
        <v>10581</v>
      </c>
      <c r="D60">
        <v>10663</v>
      </c>
      <c r="E60">
        <v>11924</v>
      </c>
      <c r="F60">
        <v>21066</v>
      </c>
      <c r="G60">
        <v>20402</v>
      </c>
      <c r="H60">
        <v>21554</v>
      </c>
      <c r="I60">
        <v>25787</v>
      </c>
      <c r="J60">
        <v>28813</v>
      </c>
      <c r="K60">
        <v>29521</v>
      </c>
    </row>
    <row r="61" spans="1:11" s="1" customFormat="1" x14ac:dyDescent="0.3">
      <c r="A61" s="1" t="s">
        <v>13</v>
      </c>
      <c r="B61">
        <v>15706</v>
      </c>
      <c r="C61">
        <v>17862</v>
      </c>
      <c r="D61">
        <v>18629</v>
      </c>
      <c r="E61">
        <v>20153</v>
      </c>
      <c r="F61">
        <v>68740</v>
      </c>
      <c r="G61">
        <v>70506</v>
      </c>
      <c r="H61">
        <v>73077</v>
      </c>
      <c r="I61">
        <v>78489</v>
      </c>
      <c r="J61">
        <v>79863</v>
      </c>
      <c r="K61">
        <v>79738</v>
      </c>
    </row>
    <row r="62" spans="1:11" x14ac:dyDescent="0.3">
      <c r="A62" s="5" t="s">
        <v>14</v>
      </c>
      <c r="B62">
        <v>4419</v>
      </c>
      <c r="C62">
        <v>4528</v>
      </c>
      <c r="D62">
        <v>4715</v>
      </c>
      <c r="E62">
        <v>5479</v>
      </c>
      <c r="F62">
        <v>51443</v>
      </c>
      <c r="G62">
        <v>51473</v>
      </c>
      <c r="H62">
        <v>52678</v>
      </c>
      <c r="I62">
        <v>53744</v>
      </c>
      <c r="J62">
        <v>54335</v>
      </c>
      <c r="K62">
        <v>57428</v>
      </c>
    </row>
    <row r="63" spans="1:11" x14ac:dyDescent="0.3">
      <c r="A63" s="5" t="s">
        <v>15</v>
      </c>
      <c r="B63">
        <v>229</v>
      </c>
      <c r="C63">
        <v>461</v>
      </c>
      <c r="D63">
        <v>406</v>
      </c>
      <c r="E63">
        <v>597</v>
      </c>
      <c r="F63">
        <v>745</v>
      </c>
      <c r="G63">
        <v>1313</v>
      </c>
      <c r="H63">
        <v>1132</v>
      </c>
      <c r="I63">
        <v>1025</v>
      </c>
      <c r="J63">
        <v>1009</v>
      </c>
      <c r="K63">
        <v>880</v>
      </c>
    </row>
    <row r="64" spans="1:11" x14ac:dyDescent="0.3">
      <c r="A64" s="5" t="s">
        <v>16</v>
      </c>
      <c r="B64">
        <v>3794</v>
      </c>
      <c r="C64">
        <v>2873</v>
      </c>
      <c r="D64">
        <v>2716</v>
      </c>
      <c r="E64">
        <v>1255</v>
      </c>
      <c r="F64">
        <v>2709</v>
      </c>
      <c r="G64">
        <v>3521</v>
      </c>
      <c r="H64">
        <v>2882</v>
      </c>
      <c r="I64">
        <v>4625</v>
      </c>
      <c r="J64">
        <v>3810</v>
      </c>
      <c r="K64">
        <v>4359</v>
      </c>
    </row>
    <row r="65" spans="1:11" x14ac:dyDescent="0.3">
      <c r="A65" s="5" t="s">
        <v>38</v>
      </c>
      <c r="B65">
        <v>7264</v>
      </c>
      <c r="C65">
        <v>10000</v>
      </c>
      <c r="D65">
        <v>10792</v>
      </c>
      <c r="E65">
        <v>12822</v>
      </c>
      <c r="F65">
        <v>13843</v>
      </c>
      <c r="G65">
        <v>14199</v>
      </c>
      <c r="H65">
        <v>16385</v>
      </c>
      <c r="I65">
        <v>19095</v>
      </c>
      <c r="J65">
        <v>20709</v>
      </c>
      <c r="K65">
        <v>17071</v>
      </c>
    </row>
    <row r="66" spans="1:11" s="1" customFormat="1" x14ac:dyDescent="0.3">
      <c r="A66" s="1" t="s">
        <v>13</v>
      </c>
      <c r="B66">
        <v>15706</v>
      </c>
      <c r="C66">
        <v>17862</v>
      </c>
      <c r="D66">
        <v>18629</v>
      </c>
      <c r="E66">
        <v>20153</v>
      </c>
      <c r="F66">
        <v>68740</v>
      </c>
      <c r="G66">
        <v>70506</v>
      </c>
      <c r="H66">
        <v>73077</v>
      </c>
      <c r="I66">
        <v>78489</v>
      </c>
      <c r="J66">
        <v>79863</v>
      </c>
      <c r="K66">
        <v>79738</v>
      </c>
    </row>
    <row r="67" spans="1:11" s="5" customFormat="1" x14ac:dyDescent="0.3">
      <c r="A67" s="5" t="s">
        <v>43</v>
      </c>
      <c r="B67">
        <v>1085</v>
      </c>
      <c r="C67">
        <v>1310</v>
      </c>
      <c r="D67">
        <v>1816</v>
      </c>
      <c r="E67">
        <v>1149</v>
      </c>
      <c r="F67">
        <v>1758</v>
      </c>
      <c r="G67">
        <v>2236</v>
      </c>
      <c r="H67">
        <v>3079</v>
      </c>
      <c r="I67">
        <v>2997</v>
      </c>
      <c r="J67">
        <v>3819</v>
      </c>
      <c r="K67">
        <v>3379</v>
      </c>
    </row>
    <row r="68" spans="1:11" x14ac:dyDescent="0.3">
      <c r="A68" s="5" t="s">
        <v>30</v>
      </c>
      <c r="B68">
        <v>2541</v>
      </c>
      <c r="C68">
        <v>2513</v>
      </c>
      <c r="D68">
        <v>2574</v>
      </c>
      <c r="E68">
        <v>2767</v>
      </c>
      <c r="F68">
        <v>3579</v>
      </c>
      <c r="G68">
        <v>4096</v>
      </c>
      <c r="H68">
        <v>4251</v>
      </c>
      <c r="I68">
        <v>4022</v>
      </c>
      <c r="J68">
        <v>4415</v>
      </c>
      <c r="K68">
        <v>4789</v>
      </c>
    </row>
    <row r="69" spans="1:11" x14ac:dyDescent="0.3">
      <c r="A69" s="3" t="s">
        <v>52</v>
      </c>
      <c r="B69">
        <v>1828</v>
      </c>
      <c r="C69">
        <v>3485</v>
      </c>
      <c r="D69">
        <v>3757</v>
      </c>
      <c r="E69">
        <v>5113</v>
      </c>
      <c r="F69">
        <v>4471</v>
      </c>
      <c r="G69">
        <v>3846</v>
      </c>
      <c r="H69">
        <v>4678</v>
      </c>
      <c r="I69">
        <v>7559</v>
      </c>
      <c r="J69">
        <v>7554</v>
      </c>
      <c r="K69">
        <v>3248</v>
      </c>
    </row>
    <row r="70" spans="1:11" x14ac:dyDescent="0.3">
      <c r="A70" s="3" t="s">
        <v>39</v>
      </c>
      <c r="B70">
        <v>2164349639</v>
      </c>
      <c r="C70">
        <v>2164528777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">
      <c r="A71" s="3" t="s">
        <v>40</v>
      </c>
      <c r="I71"/>
    </row>
    <row r="72" spans="1:11" x14ac:dyDescent="0.3">
      <c r="A72" s="3" t="s">
        <v>53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1" customFormat="1" x14ac:dyDescent="0.3">
      <c r="A82" s="5" t="s">
        <v>18</v>
      </c>
      <c r="B82">
        <v>5185</v>
      </c>
      <c r="C82">
        <v>6059</v>
      </c>
      <c r="D82">
        <v>5800</v>
      </c>
      <c r="E82">
        <v>7623</v>
      </c>
      <c r="F82">
        <v>9163</v>
      </c>
      <c r="G82">
        <v>9048</v>
      </c>
      <c r="H82">
        <v>9991</v>
      </c>
      <c r="I82">
        <v>15469</v>
      </c>
      <c r="J82">
        <v>11886</v>
      </c>
      <c r="K82">
        <v>10999</v>
      </c>
    </row>
    <row r="83" spans="1:11" s="5" customFormat="1" x14ac:dyDescent="0.3">
      <c r="A83" s="5" t="s">
        <v>19</v>
      </c>
      <c r="B83">
        <v>-1173</v>
      </c>
      <c r="C83">
        <v>-1063</v>
      </c>
      <c r="D83">
        <v>-438</v>
      </c>
      <c r="E83">
        <v>1791</v>
      </c>
      <c r="F83">
        <v>-1228</v>
      </c>
      <c r="G83">
        <v>-1728</v>
      </c>
      <c r="H83">
        <v>-1484</v>
      </c>
      <c r="I83">
        <v>-5324</v>
      </c>
      <c r="J83">
        <v>6473</v>
      </c>
      <c r="K83">
        <v>-3676</v>
      </c>
    </row>
    <row r="84" spans="1:11" s="5" customFormat="1" x14ac:dyDescent="0.3">
      <c r="A84" s="5" t="s">
        <v>20</v>
      </c>
      <c r="B84">
        <v>-4214</v>
      </c>
      <c r="C84">
        <v>-4975</v>
      </c>
      <c r="D84">
        <v>-5390</v>
      </c>
      <c r="E84">
        <v>-6819</v>
      </c>
      <c r="F84">
        <v>-9309</v>
      </c>
      <c r="G84">
        <v>-8015</v>
      </c>
      <c r="H84">
        <v>-8953</v>
      </c>
      <c r="I84">
        <v>-10034</v>
      </c>
      <c r="J84">
        <v>-13101</v>
      </c>
      <c r="K84">
        <v>-10810</v>
      </c>
    </row>
    <row r="85" spans="1:11" s="1" customFormat="1" x14ac:dyDescent="0.3">
      <c r="A85" s="5" t="s">
        <v>21</v>
      </c>
      <c r="B85">
        <v>-202</v>
      </c>
      <c r="C85">
        <v>21</v>
      </c>
      <c r="D85">
        <v>-28</v>
      </c>
      <c r="E85">
        <v>2595</v>
      </c>
      <c r="F85">
        <v>-1374</v>
      </c>
      <c r="G85">
        <v>-695</v>
      </c>
      <c r="H85">
        <v>-446</v>
      </c>
      <c r="I85">
        <v>111</v>
      </c>
      <c r="J85">
        <v>5258</v>
      </c>
      <c r="K85">
        <v>-3487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42</v>
      </c>
      <c r="B90">
        <v>872.61</v>
      </c>
      <c r="C90">
        <v>1276.1099999999999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2055.1999999999998</v>
      </c>
    </row>
    <row r="92" spans="1:11" s="1" customFormat="1" x14ac:dyDescent="0.3">
      <c r="A92" s="1" t="s">
        <v>41</v>
      </c>
    </row>
    <row r="93" spans="1:11" x14ac:dyDescent="0.3">
      <c r="A93" s="3" t="s">
        <v>54</v>
      </c>
      <c r="B93" s="10">
        <v>216.43</v>
      </c>
      <c r="C93" s="10">
        <v>216.45</v>
      </c>
      <c r="D93" s="10">
        <v>216.47</v>
      </c>
      <c r="E93" s="10">
        <v>216.48</v>
      </c>
      <c r="F93" s="10">
        <v>234.96</v>
      </c>
      <c r="G93" s="10">
        <v>234.96</v>
      </c>
      <c r="H93" s="10">
        <v>234.96</v>
      </c>
      <c r="I93" s="10">
        <v>234.96</v>
      </c>
      <c r="J93" s="10">
        <v>234.96</v>
      </c>
      <c r="K93" s="10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scale="54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4DD-D204-49B3-BFB2-3DDA1AA23FA5}">
  <sheetPr>
    <pageSetUpPr fitToPage="1"/>
  </sheetPr>
  <dimension ref="B2:O77"/>
  <sheetViews>
    <sheetView showGridLines="0" workbookViewId="0">
      <pane ySplit="2" topLeftCell="A3" activePane="bottomLeft" state="frozen"/>
      <selection pane="bottomLeft" activeCell="P20" sqref="P20"/>
    </sheetView>
  </sheetViews>
  <sheetFormatPr defaultRowHeight="14.4" x14ac:dyDescent="0.3"/>
  <cols>
    <col min="1" max="1" width="1.88671875" customWidth="1"/>
    <col min="2" max="2" width="24.44140625" bestFit="1" customWidth="1"/>
    <col min="3" max="14" width="10.109375" bestFit="1" customWidth="1"/>
  </cols>
  <sheetData>
    <row r="2" spans="2:14" ht="15" thickBot="1" x14ac:dyDescent="0.35">
      <c r="B2" s="84" t="s">
        <v>274</v>
      </c>
      <c r="C2" s="123">
        <v>42064</v>
      </c>
      <c r="D2" s="123">
        <f>C2+366</f>
        <v>42430</v>
      </c>
      <c r="E2" s="123">
        <f t="shared" ref="E2:M2" si="0">D2+366</f>
        <v>42796</v>
      </c>
      <c r="F2" s="123">
        <f t="shared" si="0"/>
        <v>43162</v>
      </c>
      <c r="G2" s="123">
        <f t="shared" si="0"/>
        <v>43528</v>
      </c>
      <c r="H2" s="123">
        <f t="shared" si="0"/>
        <v>43894</v>
      </c>
      <c r="I2" s="123">
        <f t="shared" si="0"/>
        <v>44260</v>
      </c>
      <c r="J2" s="123">
        <f t="shared" si="0"/>
        <v>44626</v>
      </c>
      <c r="K2" s="123">
        <f t="shared" si="0"/>
        <v>44992</v>
      </c>
      <c r="L2" s="123">
        <f t="shared" si="0"/>
        <v>45358</v>
      </c>
      <c r="M2" s="123">
        <f t="shared" si="0"/>
        <v>45724</v>
      </c>
      <c r="N2" s="123">
        <f>M2+366</f>
        <v>46090</v>
      </c>
    </row>
    <row r="4" spans="2:14" x14ac:dyDescent="0.3">
      <c r="B4" s="117" t="s">
        <v>258</v>
      </c>
      <c r="C4" s="124">
        <v>216</v>
      </c>
      <c r="D4" s="124">
        <v>216</v>
      </c>
      <c r="E4" s="124">
        <v>216</v>
      </c>
      <c r="F4" s="124">
        <v>216</v>
      </c>
      <c r="G4" s="124">
        <v>216</v>
      </c>
      <c r="H4" s="124">
        <v>216</v>
      </c>
      <c r="I4" s="124">
        <v>235</v>
      </c>
      <c r="J4" s="124">
        <v>235</v>
      </c>
      <c r="K4" s="124">
        <v>235</v>
      </c>
      <c r="L4" s="124">
        <v>235</v>
      </c>
      <c r="M4" s="124">
        <v>235</v>
      </c>
      <c r="N4" s="124">
        <v>235</v>
      </c>
    </row>
    <row r="5" spans="2:14" ht="15" thickBot="1" x14ac:dyDescent="0.35">
      <c r="B5" s="118" t="s">
        <v>12</v>
      </c>
      <c r="C5" s="124">
        <v>3811</v>
      </c>
      <c r="D5" s="124">
        <v>6357</v>
      </c>
      <c r="E5" s="124">
        <v>6528</v>
      </c>
      <c r="F5" s="124">
        <v>7065</v>
      </c>
      <c r="G5" s="124">
        <v>7651</v>
      </c>
      <c r="H5" s="124">
        <v>8013</v>
      </c>
      <c r="I5" s="124">
        <v>47439</v>
      </c>
      <c r="J5" s="124">
        <v>48826</v>
      </c>
      <c r="K5" s="124">
        <v>50069</v>
      </c>
      <c r="L5" s="124">
        <v>50983</v>
      </c>
      <c r="M5" s="124">
        <v>49167</v>
      </c>
      <c r="N5" s="124">
        <v>48504</v>
      </c>
    </row>
    <row r="6" spans="2:14" x14ac:dyDescent="0.3">
      <c r="B6" s="119" t="s">
        <v>259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</row>
    <row r="7" spans="2:14" x14ac:dyDescent="0.3">
      <c r="B7" s="120" t="s">
        <v>260</v>
      </c>
      <c r="C7" s="124">
        <v>7</v>
      </c>
      <c r="D7" s="124">
        <v>0</v>
      </c>
      <c r="E7" s="124">
        <v>0</v>
      </c>
      <c r="F7" s="124">
        <v>0</v>
      </c>
      <c r="G7" s="124">
        <v>0</v>
      </c>
      <c r="H7" s="124">
        <v>0</v>
      </c>
      <c r="I7" s="124">
        <v>0</v>
      </c>
      <c r="J7" s="124">
        <v>0</v>
      </c>
      <c r="K7" s="124">
        <v>0</v>
      </c>
      <c r="L7" s="124">
        <v>0</v>
      </c>
      <c r="M7" s="124">
        <v>0</v>
      </c>
      <c r="N7" s="124">
        <v>0</v>
      </c>
    </row>
    <row r="8" spans="2:14" x14ac:dyDescent="0.3">
      <c r="B8" s="120" t="s">
        <v>261</v>
      </c>
      <c r="C8" s="124">
        <v>36</v>
      </c>
      <c r="D8" s="124">
        <v>177</v>
      </c>
      <c r="E8" s="124">
        <v>277</v>
      </c>
      <c r="F8" s="124">
        <v>0</v>
      </c>
      <c r="G8" s="124">
        <v>99</v>
      </c>
      <c r="H8" s="124">
        <v>0</v>
      </c>
      <c r="I8" s="124">
        <v>0</v>
      </c>
      <c r="J8" s="124">
        <v>0</v>
      </c>
      <c r="K8" s="124">
        <v>98</v>
      </c>
      <c r="L8" s="124">
        <v>13</v>
      </c>
      <c r="M8" s="124">
        <v>1</v>
      </c>
      <c r="N8" s="124">
        <v>0</v>
      </c>
    </row>
    <row r="9" spans="2:14" ht="15" thickBot="1" x14ac:dyDescent="0.35">
      <c r="B9" s="120" t="s">
        <v>262</v>
      </c>
      <c r="C9" s="124">
        <v>0</v>
      </c>
      <c r="D9" s="124">
        <v>0</v>
      </c>
      <c r="E9" s="124">
        <v>0</v>
      </c>
      <c r="F9" s="124">
        <v>0</v>
      </c>
      <c r="G9" s="124">
        <v>0</v>
      </c>
      <c r="H9" s="124">
        <v>0</v>
      </c>
      <c r="I9" s="124">
        <v>0</v>
      </c>
      <c r="J9" s="124">
        <v>1043</v>
      </c>
      <c r="K9" s="124">
        <v>1121</v>
      </c>
      <c r="L9" s="124">
        <v>1471</v>
      </c>
      <c r="M9" s="124">
        <v>1647</v>
      </c>
      <c r="N9" s="124">
        <v>1478</v>
      </c>
    </row>
    <row r="10" spans="2:14" x14ac:dyDescent="0.3">
      <c r="B10" s="121" t="s">
        <v>263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2:14" x14ac:dyDescent="0.3">
      <c r="B11" s="122" t="s">
        <v>264</v>
      </c>
      <c r="C11" s="124">
        <v>25</v>
      </c>
      <c r="D11" s="124">
        <v>20</v>
      </c>
      <c r="E11" s="124">
        <v>22</v>
      </c>
      <c r="F11" s="124">
        <v>20</v>
      </c>
      <c r="G11" s="124">
        <v>18</v>
      </c>
      <c r="H11" s="124">
        <v>17</v>
      </c>
      <c r="I11" s="124">
        <v>20</v>
      </c>
      <c r="J11" s="124">
        <v>26</v>
      </c>
      <c r="K11" s="124">
        <v>218</v>
      </c>
      <c r="L11" s="124">
        <v>205</v>
      </c>
      <c r="M11" s="124">
        <v>207</v>
      </c>
      <c r="N11" s="124">
        <v>269</v>
      </c>
    </row>
    <row r="12" spans="2:14" x14ac:dyDescent="0.3">
      <c r="B12" s="122" t="s">
        <v>248</v>
      </c>
      <c r="C12" s="124">
        <v>5506</v>
      </c>
      <c r="D12" s="124">
        <v>5685</v>
      </c>
      <c r="E12" s="124">
        <v>6186</v>
      </c>
      <c r="F12" s="124">
        <v>7170</v>
      </c>
      <c r="G12" s="124">
        <v>7206</v>
      </c>
      <c r="H12" s="124">
        <v>7535</v>
      </c>
      <c r="I12" s="124">
        <v>8802</v>
      </c>
      <c r="J12" s="124">
        <v>9068</v>
      </c>
      <c r="K12" s="124">
        <v>9574</v>
      </c>
      <c r="L12" s="124">
        <v>10486</v>
      </c>
      <c r="M12" s="124">
        <v>11315</v>
      </c>
      <c r="N12" s="124">
        <v>13325</v>
      </c>
    </row>
    <row r="13" spans="2:14" x14ac:dyDescent="0.3">
      <c r="B13" s="122" t="s">
        <v>249</v>
      </c>
      <c r="C13" s="124">
        <v>45</v>
      </c>
      <c r="D13" s="124">
        <v>45</v>
      </c>
      <c r="E13" s="124">
        <v>78</v>
      </c>
      <c r="F13" s="124">
        <v>62</v>
      </c>
      <c r="G13" s="124">
        <v>43</v>
      </c>
      <c r="H13" s="124">
        <v>158</v>
      </c>
      <c r="I13" s="124">
        <v>96</v>
      </c>
      <c r="J13" s="124">
        <v>119</v>
      </c>
      <c r="K13" s="124">
        <v>98</v>
      </c>
      <c r="L13" s="124">
        <v>91</v>
      </c>
      <c r="M13" s="124">
        <v>0</v>
      </c>
      <c r="N13" s="124">
        <v>0</v>
      </c>
    </row>
    <row r="14" spans="2:14" x14ac:dyDescent="0.3">
      <c r="B14" s="122" t="s">
        <v>250</v>
      </c>
      <c r="C14" s="124">
        <v>4783</v>
      </c>
      <c r="D14" s="124">
        <v>2293</v>
      </c>
      <c r="E14" s="124">
        <v>2399</v>
      </c>
      <c r="F14" s="124">
        <v>3329</v>
      </c>
      <c r="G14" s="124">
        <v>3396</v>
      </c>
      <c r="H14" s="124">
        <v>4214</v>
      </c>
      <c r="I14" s="124">
        <v>12148</v>
      </c>
      <c r="J14" s="124">
        <v>11189</v>
      </c>
      <c r="K14" s="124">
        <v>11664</v>
      </c>
      <c r="L14" s="124">
        <v>15005</v>
      </c>
      <c r="M14" s="124">
        <v>17291</v>
      </c>
      <c r="N14" s="124">
        <v>15927</v>
      </c>
    </row>
    <row r="15" spans="2:14" x14ac:dyDescent="0.3">
      <c r="B15" s="126" t="s">
        <v>82</v>
      </c>
      <c r="C15" s="125">
        <v>14430</v>
      </c>
      <c r="D15" s="125">
        <v>14793</v>
      </c>
      <c r="E15" s="125">
        <v>15706</v>
      </c>
      <c r="F15" s="125">
        <v>17862</v>
      </c>
      <c r="G15" s="125">
        <v>18629</v>
      </c>
      <c r="H15" s="125">
        <v>20153</v>
      </c>
      <c r="I15" s="125">
        <v>68740</v>
      </c>
      <c r="J15" s="125">
        <v>70506</v>
      </c>
      <c r="K15" s="125">
        <v>73077</v>
      </c>
      <c r="L15" s="125">
        <v>78489</v>
      </c>
      <c r="M15" s="125">
        <v>79863</v>
      </c>
      <c r="N15" s="125">
        <v>79738</v>
      </c>
    </row>
    <row r="16" spans="2:14" ht="15" thickBot="1" x14ac:dyDescent="0.35"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</row>
    <row r="17" spans="2:15" x14ac:dyDescent="0.3">
      <c r="B17" s="121" t="s">
        <v>265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</row>
    <row r="18" spans="2:15" x14ac:dyDescent="0.3">
      <c r="B18" s="122" t="s">
        <v>266</v>
      </c>
      <c r="C18" s="124">
        <v>102</v>
      </c>
      <c r="D18" s="124">
        <v>88</v>
      </c>
      <c r="E18" s="124">
        <v>89</v>
      </c>
      <c r="F18" s="124">
        <v>87</v>
      </c>
      <c r="G18" s="124">
        <v>86</v>
      </c>
      <c r="H18" s="124">
        <v>59</v>
      </c>
      <c r="I18" s="124">
        <v>477</v>
      </c>
      <c r="J18" s="124">
        <v>477</v>
      </c>
      <c r="K18" s="124">
        <v>609</v>
      </c>
      <c r="L18" s="124">
        <v>633</v>
      </c>
      <c r="M18" s="124">
        <v>628</v>
      </c>
      <c r="N18" s="124">
        <v>636</v>
      </c>
    </row>
    <row r="19" spans="2:15" x14ac:dyDescent="0.3">
      <c r="B19" s="122" t="s">
        <v>251</v>
      </c>
      <c r="C19" s="124">
        <v>1173</v>
      </c>
      <c r="D19" s="124">
        <v>931</v>
      </c>
      <c r="E19" s="124">
        <v>1210</v>
      </c>
      <c r="F19" s="124">
        <v>1343</v>
      </c>
      <c r="G19" s="124">
        <v>1527</v>
      </c>
      <c r="H19" s="124">
        <v>2044</v>
      </c>
      <c r="I19" s="124">
        <v>2602</v>
      </c>
      <c r="J19" s="124">
        <v>2788</v>
      </c>
      <c r="K19" s="124">
        <v>3101</v>
      </c>
      <c r="L19" s="124">
        <v>3590</v>
      </c>
      <c r="M19" s="124">
        <v>3833</v>
      </c>
      <c r="N19" s="124">
        <v>4067</v>
      </c>
    </row>
    <row r="20" spans="2:15" x14ac:dyDescent="0.3">
      <c r="B20" s="122" t="s">
        <v>252</v>
      </c>
      <c r="C20" s="124">
        <v>3481</v>
      </c>
      <c r="D20" s="124">
        <v>2370</v>
      </c>
      <c r="E20" s="124">
        <v>3270</v>
      </c>
      <c r="F20" s="124">
        <v>3691</v>
      </c>
      <c r="G20" s="124">
        <v>4092</v>
      </c>
      <c r="H20" s="124">
        <v>5001</v>
      </c>
      <c r="I20" s="124">
        <v>6097</v>
      </c>
      <c r="J20" s="124">
        <v>6566</v>
      </c>
      <c r="K20" s="124">
        <v>7612</v>
      </c>
      <c r="L20" s="124">
        <v>8946</v>
      </c>
      <c r="M20" s="124">
        <v>9900</v>
      </c>
      <c r="N20" s="124">
        <v>9296</v>
      </c>
    </row>
    <row r="21" spans="2:15" x14ac:dyDescent="0.3">
      <c r="B21" s="122" t="s">
        <v>253</v>
      </c>
      <c r="C21" s="124">
        <v>106</v>
      </c>
      <c r="D21" s="124">
        <v>41</v>
      </c>
      <c r="E21" s="124">
        <v>62</v>
      </c>
      <c r="F21" s="124">
        <v>74</v>
      </c>
      <c r="G21" s="124">
        <v>95</v>
      </c>
      <c r="H21" s="124">
        <v>139</v>
      </c>
      <c r="I21" s="124">
        <v>175</v>
      </c>
      <c r="J21" s="124">
        <v>181</v>
      </c>
      <c r="K21" s="124">
        <v>185</v>
      </c>
      <c r="L21" s="124">
        <v>206</v>
      </c>
      <c r="M21" s="124">
        <v>245</v>
      </c>
      <c r="N21" s="124">
        <v>286</v>
      </c>
    </row>
    <row r="22" spans="2:15" x14ac:dyDescent="0.3">
      <c r="B22" s="122" t="s">
        <v>254</v>
      </c>
      <c r="C22" s="124">
        <v>108</v>
      </c>
      <c r="D22" s="124">
        <v>61</v>
      </c>
      <c r="E22" s="124">
        <v>66</v>
      </c>
      <c r="F22" s="124">
        <v>76</v>
      </c>
      <c r="G22" s="124">
        <v>88</v>
      </c>
      <c r="H22" s="124">
        <v>154</v>
      </c>
      <c r="I22" s="124">
        <v>156</v>
      </c>
      <c r="J22" s="124">
        <v>152</v>
      </c>
      <c r="K22" s="124">
        <v>161</v>
      </c>
      <c r="L22" s="124">
        <v>165</v>
      </c>
      <c r="M22" s="124">
        <v>174</v>
      </c>
      <c r="N22" s="124">
        <v>220</v>
      </c>
    </row>
    <row r="23" spans="2:15" x14ac:dyDescent="0.3">
      <c r="B23" s="122" t="s">
        <v>267</v>
      </c>
      <c r="C23" s="124">
        <v>0</v>
      </c>
      <c r="D23" s="124">
        <v>0</v>
      </c>
      <c r="E23" s="124">
        <v>0</v>
      </c>
      <c r="F23" s="124">
        <v>0</v>
      </c>
      <c r="G23" s="124">
        <v>0</v>
      </c>
      <c r="H23" s="124">
        <v>0</v>
      </c>
      <c r="I23" s="124">
        <v>0</v>
      </c>
      <c r="J23" s="124">
        <v>0</v>
      </c>
      <c r="K23" s="124">
        <v>0</v>
      </c>
      <c r="L23" s="124">
        <v>0</v>
      </c>
      <c r="M23" s="124">
        <v>0</v>
      </c>
      <c r="N23" s="124">
        <v>0</v>
      </c>
    </row>
    <row r="24" spans="2:15" x14ac:dyDescent="0.3">
      <c r="B24" s="122" t="s">
        <v>255</v>
      </c>
      <c r="C24" s="124">
        <v>1</v>
      </c>
      <c r="D24" s="124">
        <v>0</v>
      </c>
      <c r="E24" s="124">
        <v>0</v>
      </c>
      <c r="F24" s="124">
        <v>0</v>
      </c>
      <c r="G24" s="124">
        <v>0</v>
      </c>
      <c r="H24" s="124">
        <v>0</v>
      </c>
      <c r="I24" s="124">
        <v>0</v>
      </c>
      <c r="J24" s="124">
        <v>0</v>
      </c>
      <c r="K24" s="124">
        <v>33</v>
      </c>
      <c r="L24" s="124">
        <v>39</v>
      </c>
      <c r="M24" s="124">
        <v>102</v>
      </c>
      <c r="N24" s="124">
        <v>103</v>
      </c>
    </row>
    <row r="25" spans="2:15" x14ac:dyDescent="0.3">
      <c r="B25" s="122" t="s">
        <v>256</v>
      </c>
      <c r="C25" s="124">
        <v>247</v>
      </c>
      <c r="D25" s="124">
        <v>85</v>
      </c>
      <c r="E25" s="124">
        <v>455</v>
      </c>
      <c r="F25" s="124">
        <v>455</v>
      </c>
      <c r="G25" s="124">
        <v>511</v>
      </c>
      <c r="H25" s="124">
        <v>511</v>
      </c>
      <c r="I25" s="124">
        <v>45262</v>
      </c>
      <c r="J25" s="124">
        <v>45262</v>
      </c>
      <c r="K25" s="124">
        <v>45692</v>
      </c>
      <c r="L25" s="124">
        <v>45692</v>
      </c>
      <c r="M25" s="124">
        <v>45692</v>
      </c>
      <c r="N25" s="124">
        <v>49195</v>
      </c>
    </row>
    <row r="26" spans="2:15" x14ac:dyDescent="0.3">
      <c r="B26" s="122" t="s">
        <v>257</v>
      </c>
      <c r="C26" s="131">
        <v>193</v>
      </c>
      <c r="D26" s="131">
        <v>19</v>
      </c>
      <c r="E26" s="131">
        <v>19</v>
      </c>
      <c r="F26" s="131">
        <v>26</v>
      </c>
      <c r="G26" s="131">
        <v>60</v>
      </c>
      <c r="H26" s="131">
        <v>71</v>
      </c>
      <c r="I26" s="131">
        <v>155</v>
      </c>
      <c r="J26" s="131">
        <v>152</v>
      </c>
      <c r="K26" s="131">
        <v>171</v>
      </c>
      <c r="L26" s="131">
        <v>180</v>
      </c>
      <c r="M26" s="131">
        <v>190</v>
      </c>
      <c r="N26" s="131">
        <v>210</v>
      </c>
    </row>
    <row r="27" spans="2:15" x14ac:dyDescent="0.3">
      <c r="B27" s="140" t="s">
        <v>227</v>
      </c>
      <c r="C27" s="134">
        <v>5412</v>
      </c>
      <c r="D27" s="134">
        <v>3595</v>
      </c>
      <c r="E27" s="134">
        <v>5171</v>
      </c>
      <c r="F27" s="134">
        <v>5752</v>
      </c>
      <c r="G27" s="134">
        <v>6459</v>
      </c>
      <c r="H27" s="134">
        <v>7979</v>
      </c>
      <c r="I27" s="134">
        <v>54924</v>
      </c>
      <c r="J27" s="134">
        <v>55578</v>
      </c>
      <c r="K27" s="134">
        <v>57564</v>
      </c>
      <c r="L27" s="134">
        <v>59451</v>
      </c>
      <c r="M27" s="134">
        <v>60764</v>
      </c>
      <c r="N27" s="134">
        <v>64013</v>
      </c>
    </row>
    <row r="28" spans="2:15" x14ac:dyDescent="0.3">
      <c r="B28" s="129" t="s">
        <v>268</v>
      </c>
      <c r="C28" s="131">
        <v>2591</v>
      </c>
      <c r="D28" s="131">
        <v>337</v>
      </c>
      <c r="E28" s="131">
        <v>752</v>
      </c>
      <c r="F28" s="131">
        <v>1224</v>
      </c>
      <c r="G28" s="131">
        <v>1744</v>
      </c>
      <c r="H28" s="131">
        <v>2500</v>
      </c>
      <c r="I28" s="131">
        <v>3481</v>
      </c>
      <c r="J28" s="131">
        <v>4105</v>
      </c>
      <c r="K28" s="131">
        <v>4886</v>
      </c>
      <c r="L28" s="131">
        <v>5707</v>
      </c>
      <c r="M28" s="131">
        <v>6429</v>
      </c>
      <c r="N28" s="131">
        <v>6585</v>
      </c>
    </row>
    <row r="29" spans="2:15" x14ac:dyDescent="0.3">
      <c r="B29" s="141" t="s">
        <v>14</v>
      </c>
      <c r="C29" s="135">
        <f>C27-C28</f>
        <v>2821</v>
      </c>
      <c r="D29" s="135">
        <f t="shared" ref="D29:N29" si="1">D27-D28</f>
        <v>3258</v>
      </c>
      <c r="E29" s="135">
        <f t="shared" si="1"/>
        <v>4419</v>
      </c>
      <c r="F29" s="135">
        <f t="shared" si="1"/>
        <v>4528</v>
      </c>
      <c r="G29" s="135">
        <f t="shared" si="1"/>
        <v>4715</v>
      </c>
      <c r="H29" s="135">
        <f t="shared" si="1"/>
        <v>5479</v>
      </c>
      <c r="I29" s="135">
        <f t="shared" si="1"/>
        <v>51443</v>
      </c>
      <c r="J29" s="135">
        <f t="shared" si="1"/>
        <v>51473</v>
      </c>
      <c r="K29" s="135">
        <f t="shared" si="1"/>
        <v>52678</v>
      </c>
      <c r="L29" s="135">
        <f t="shared" si="1"/>
        <v>53744</v>
      </c>
      <c r="M29" s="135">
        <f t="shared" si="1"/>
        <v>54335</v>
      </c>
      <c r="N29" s="135">
        <f t="shared" si="1"/>
        <v>57428</v>
      </c>
      <c r="O29" s="35"/>
    </row>
    <row r="30" spans="2:15" x14ac:dyDescent="0.3">
      <c r="B30" s="129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</row>
    <row r="31" spans="2:15" x14ac:dyDescent="0.3">
      <c r="B31" s="139" t="s">
        <v>269</v>
      </c>
      <c r="C31" s="138">
        <v>516</v>
      </c>
      <c r="D31" s="138">
        <v>408</v>
      </c>
      <c r="E31" s="138">
        <v>229</v>
      </c>
      <c r="F31" s="138">
        <v>461</v>
      </c>
      <c r="G31" s="138">
        <v>406</v>
      </c>
      <c r="H31" s="138">
        <v>597</v>
      </c>
      <c r="I31" s="138">
        <v>745</v>
      </c>
      <c r="J31" s="138">
        <v>1313</v>
      </c>
      <c r="K31" s="138">
        <v>1132</v>
      </c>
      <c r="L31" s="138">
        <v>1025</v>
      </c>
      <c r="M31" s="138">
        <v>1009</v>
      </c>
      <c r="N31" s="138">
        <v>880</v>
      </c>
    </row>
    <row r="32" spans="2:15" x14ac:dyDescent="0.3">
      <c r="B32" s="130" t="s">
        <v>16</v>
      </c>
      <c r="C32" s="138">
        <v>3025</v>
      </c>
      <c r="D32" s="138">
        <v>2592</v>
      </c>
      <c r="E32" s="138">
        <v>3794</v>
      </c>
      <c r="F32" s="138">
        <v>2873</v>
      </c>
      <c r="G32" s="138">
        <v>2716</v>
      </c>
      <c r="H32" s="138">
        <v>1255</v>
      </c>
      <c r="I32" s="138">
        <v>2709</v>
      </c>
      <c r="J32" s="138">
        <v>3521</v>
      </c>
      <c r="K32" s="138">
        <v>2882</v>
      </c>
      <c r="L32" s="138">
        <v>4625</v>
      </c>
      <c r="M32" s="138">
        <v>3810</v>
      </c>
      <c r="N32" s="138">
        <v>4359</v>
      </c>
    </row>
    <row r="33" spans="2:14" ht="15" thickBot="1" x14ac:dyDescent="0.35">
      <c r="B33" s="130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</row>
    <row r="34" spans="2:14" x14ac:dyDescent="0.3">
      <c r="B34" s="119" t="s">
        <v>270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</row>
    <row r="35" spans="2:14" x14ac:dyDescent="0.3">
      <c r="B35" s="120" t="s">
        <v>244</v>
      </c>
      <c r="C35" s="124">
        <v>2849</v>
      </c>
      <c r="D35" s="124">
        <v>2726</v>
      </c>
      <c r="E35" s="124">
        <v>2541</v>
      </c>
      <c r="F35" s="124">
        <v>2513</v>
      </c>
      <c r="G35" s="124">
        <v>2574</v>
      </c>
      <c r="H35" s="124">
        <v>2767</v>
      </c>
      <c r="I35" s="124">
        <v>3579</v>
      </c>
      <c r="J35" s="124">
        <v>4096</v>
      </c>
      <c r="K35" s="124">
        <v>4251</v>
      </c>
      <c r="L35" s="124">
        <v>4022</v>
      </c>
      <c r="M35" s="124">
        <v>4415</v>
      </c>
      <c r="N35" s="124">
        <v>4789</v>
      </c>
    </row>
    <row r="36" spans="2:14" x14ac:dyDescent="0.3">
      <c r="B36" s="120" t="s">
        <v>271</v>
      </c>
      <c r="C36" s="124">
        <v>1010</v>
      </c>
      <c r="D36" s="124">
        <v>1264</v>
      </c>
      <c r="E36" s="124">
        <v>1085</v>
      </c>
      <c r="F36" s="124">
        <v>1310</v>
      </c>
      <c r="G36" s="124">
        <v>1816</v>
      </c>
      <c r="H36" s="124">
        <v>1149</v>
      </c>
      <c r="I36" s="124">
        <v>1758</v>
      </c>
      <c r="J36" s="124">
        <v>2236</v>
      </c>
      <c r="K36" s="124">
        <v>3079</v>
      </c>
      <c r="L36" s="124">
        <v>2997</v>
      </c>
      <c r="M36" s="124">
        <v>3819</v>
      </c>
      <c r="N36" s="124">
        <v>3379</v>
      </c>
    </row>
    <row r="37" spans="2:14" x14ac:dyDescent="0.3">
      <c r="B37" s="120" t="s">
        <v>272</v>
      </c>
      <c r="C37" s="124">
        <v>2689</v>
      </c>
      <c r="D37" s="124">
        <v>3009</v>
      </c>
      <c r="E37" s="124">
        <v>1828</v>
      </c>
      <c r="F37" s="124">
        <v>3485</v>
      </c>
      <c r="G37" s="124">
        <v>3757</v>
      </c>
      <c r="H37" s="124">
        <v>5113</v>
      </c>
      <c r="I37" s="124">
        <v>4471</v>
      </c>
      <c r="J37" s="124">
        <v>3846</v>
      </c>
      <c r="K37" s="124">
        <v>4678</v>
      </c>
      <c r="L37" s="124">
        <v>7559</v>
      </c>
      <c r="M37" s="124">
        <v>7554</v>
      </c>
      <c r="N37" s="124">
        <v>3248</v>
      </c>
    </row>
    <row r="38" spans="2:14" x14ac:dyDescent="0.3">
      <c r="B38" s="120" t="s">
        <v>246</v>
      </c>
      <c r="C38" s="124">
        <v>0</v>
      </c>
      <c r="D38" s="124">
        <v>0</v>
      </c>
      <c r="E38" s="124">
        <v>71</v>
      </c>
      <c r="F38" s="124">
        <v>40</v>
      </c>
      <c r="G38" s="124">
        <v>26</v>
      </c>
      <c r="H38" s="124">
        <v>19</v>
      </c>
      <c r="I38" s="124">
        <v>78</v>
      </c>
      <c r="J38" s="124">
        <v>170</v>
      </c>
      <c r="K38" s="124">
        <v>188</v>
      </c>
      <c r="L38" s="124">
        <v>172</v>
      </c>
      <c r="M38" s="124">
        <v>619</v>
      </c>
      <c r="N38" s="124">
        <v>1024</v>
      </c>
    </row>
    <row r="39" spans="2:14" x14ac:dyDescent="0.3">
      <c r="B39" s="120" t="s">
        <v>247</v>
      </c>
      <c r="C39" s="131">
        <v>1519</v>
      </c>
      <c r="D39" s="131">
        <v>1536</v>
      </c>
      <c r="E39" s="131">
        <v>1739</v>
      </c>
      <c r="F39" s="131">
        <v>2652</v>
      </c>
      <c r="G39" s="131">
        <v>2619</v>
      </c>
      <c r="H39" s="131">
        <v>3774</v>
      </c>
      <c r="I39" s="131">
        <v>3957</v>
      </c>
      <c r="J39" s="131">
        <v>3851</v>
      </c>
      <c r="K39" s="131">
        <v>4189</v>
      </c>
      <c r="L39" s="131">
        <v>4345</v>
      </c>
      <c r="M39" s="131">
        <v>4302</v>
      </c>
      <c r="N39" s="131">
        <v>4631</v>
      </c>
    </row>
    <row r="40" spans="2:14" ht="15" thickBot="1" x14ac:dyDescent="0.35">
      <c r="B40" s="132" t="s">
        <v>273</v>
      </c>
      <c r="C40" s="133">
        <v>14430</v>
      </c>
      <c r="D40" s="133">
        <v>14793</v>
      </c>
      <c r="E40" s="133">
        <v>15706</v>
      </c>
      <c r="F40" s="133">
        <v>17862</v>
      </c>
      <c r="G40" s="133">
        <v>18629</v>
      </c>
      <c r="H40" s="133">
        <v>20153</v>
      </c>
      <c r="I40" s="133">
        <v>68740</v>
      </c>
      <c r="J40" s="133">
        <v>70506</v>
      </c>
      <c r="K40" s="133">
        <v>73077</v>
      </c>
      <c r="L40" s="133">
        <v>78489</v>
      </c>
      <c r="M40" s="133">
        <v>79863</v>
      </c>
      <c r="N40" s="133">
        <v>79738</v>
      </c>
    </row>
    <row r="44" spans="2:14" x14ac:dyDescent="0.3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2:14" x14ac:dyDescent="0.3">
      <c r="B45" t="s">
        <v>109</v>
      </c>
      <c r="C45" s="124">
        <v>3292</v>
      </c>
      <c r="D45" s="124">
        <v>4171</v>
      </c>
      <c r="E45" s="124">
        <v>5185</v>
      </c>
      <c r="F45" s="124">
        <v>6059</v>
      </c>
      <c r="G45" s="124">
        <v>5800</v>
      </c>
      <c r="H45" s="124">
        <v>7623</v>
      </c>
      <c r="I45" s="124">
        <v>9163</v>
      </c>
      <c r="J45" s="124">
        <v>9048</v>
      </c>
      <c r="K45" s="124">
        <v>9991</v>
      </c>
      <c r="L45" s="124">
        <v>15469</v>
      </c>
      <c r="M45" s="124">
        <v>11886</v>
      </c>
      <c r="N45" s="124">
        <v>10999</v>
      </c>
    </row>
    <row r="46" spans="2:14" x14ac:dyDescent="0.3">
      <c r="B46" t="s">
        <v>87</v>
      </c>
      <c r="C46" s="124">
        <v>5510</v>
      </c>
      <c r="D46" s="124">
        <v>6025</v>
      </c>
      <c r="E46" s="124">
        <v>6512</v>
      </c>
      <c r="F46" s="124">
        <v>7485</v>
      </c>
      <c r="G46" s="124">
        <v>8909</v>
      </c>
      <c r="H46" s="124">
        <v>9723</v>
      </c>
      <c r="I46" s="124">
        <v>11672</v>
      </c>
      <c r="J46" s="124">
        <v>12829</v>
      </c>
      <c r="K46" s="124">
        <v>14089</v>
      </c>
      <c r="L46" s="124">
        <v>14537</v>
      </c>
      <c r="M46" s="124">
        <v>14942</v>
      </c>
      <c r="N46" s="124">
        <v>15153</v>
      </c>
    </row>
    <row r="47" spans="2:14" x14ac:dyDescent="0.3">
      <c r="B47" t="s">
        <v>43</v>
      </c>
      <c r="C47" s="124">
        <v>3</v>
      </c>
      <c r="D47" s="124">
        <v>-257</v>
      </c>
      <c r="E47" s="124">
        <v>173</v>
      </c>
      <c r="F47" s="124">
        <v>0</v>
      </c>
      <c r="G47" s="124">
        <v>0</v>
      </c>
      <c r="H47" s="124">
        <v>0</v>
      </c>
      <c r="I47" s="124">
        <v>0</v>
      </c>
      <c r="J47" s="124">
        <v>0</v>
      </c>
      <c r="K47" s="124">
        <v>0</v>
      </c>
      <c r="L47" s="124">
        <v>0</v>
      </c>
      <c r="M47" s="124">
        <v>0</v>
      </c>
      <c r="N47" s="124">
        <v>0</v>
      </c>
    </row>
    <row r="48" spans="2:14" x14ac:dyDescent="0.3">
      <c r="B48" t="s">
        <v>30</v>
      </c>
      <c r="C48" s="124">
        <v>91</v>
      </c>
      <c r="D48" s="124">
        <v>89</v>
      </c>
      <c r="E48" s="124">
        <v>37</v>
      </c>
      <c r="F48" s="124">
        <v>-146</v>
      </c>
      <c r="G48" s="124">
        <v>-195</v>
      </c>
      <c r="H48" s="124">
        <v>-331</v>
      </c>
      <c r="I48" s="124">
        <v>-543</v>
      </c>
      <c r="J48" s="124">
        <v>-758</v>
      </c>
      <c r="K48" s="124">
        <v>-339</v>
      </c>
      <c r="L48" s="124">
        <v>74</v>
      </c>
      <c r="M48" s="124">
        <v>-584</v>
      </c>
      <c r="N48" s="124">
        <v>-692</v>
      </c>
    </row>
    <row r="49" spans="2:14" x14ac:dyDescent="0.3">
      <c r="B49" t="s">
        <v>88</v>
      </c>
      <c r="C49" s="124">
        <v>-327</v>
      </c>
      <c r="D49" s="124">
        <v>164</v>
      </c>
      <c r="E49" s="124">
        <v>501</v>
      </c>
      <c r="F49" s="124">
        <v>0</v>
      </c>
      <c r="G49" s="124">
        <v>0</v>
      </c>
      <c r="H49" s="124">
        <v>0</v>
      </c>
      <c r="I49" s="124">
        <v>0</v>
      </c>
      <c r="J49" s="124">
        <v>0</v>
      </c>
      <c r="K49" s="124">
        <v>0</v>
      </c>
      <c r="L49" s="124">
        <v>0</v>
      </c>
      <c r="M49" s="124">
        <v>0</v>
      </c>
      <c r="N49" s="124">
        <v>0</v>
      </c>
    </row>
    <row r="50" spans="2:14" x14ac:dyDescent="0.3">
      <c r="B50" t="s">
        <v>275</v>
      </c>
      <c r="C50" s="124">
        <v>-148</v>
      </c>
      <c r="D50" s="124">
        <v>0</v>
      </c>
      <c r="E50" s="124">
        <v>0</v>
      </c>
      <c r="F50" s="124">
        <v>0</v>
      </c>
      <c r="G50" s="124">
        <v>0</v>
      </c>
      <c r="H50" s="124">
        <v>0</v>
      </c>
      <c r="I50" s="124">
        <v>0</v>
      </c>
      <c r="J50" s="124">
        <v>0</v>
      </c>
      <c r="K50" s="124">
        <v>0</v>
      </c>
      <c r="L50" s="124">
        <v>0</v>
      </c>
      <c r="M50" s="124">
        <v>0</v>
      </c>
      <c r="N50" s="124">
        <v>0</v>
      </c>
    </row>
    <row r="51" spans="2:14" x14ac:dyDescent="0.3">
      <c r="B51" t="s">
        <v>276</v>
      </c>
      <c r="C51" s="124">
        <v>0</v>
      </c>
      <c r="D51" s="124">
        <v>0</v>
      </c>
      <c r="E51" s="124">
        <v>-46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4">
        <v>0</v>
      </c>
      <c r="L51" s="124">
        <v>0</v>
      </c>
      <c r="M51" s="124">
        <v>0</v>
      </c>
      <c r="N51" s="124">
        <v>0</v>
      </c>
    </row>
    <row r="52" spans="2:14" x14ac:dyDescent="0.3">
      <c r="B52" t="s">
        <v>89</v>
      </c>
      <c r="C52" s="124">
        <v>38</v>
      </c>
      <c r="D52" s="124">
        <v>-77</v>
      </c>
      <c r="E52" s="124">
        <v>-99</v>
      </c>
      <c r="F52" s="124">
        <v>982</v>
      </c>
      <c r="G52" s="124">
        <v>-147</v>
      </c>
      <c r="H52" s="124">
        <v>742</v>
      </c>
      <c r="I52" s="124">
        <v>442</v>
      </c>
      <c r="J52" s="124">
        <v>-242</v>
      </c>
      <c r="K52" s="124">
        <v>-621</v>
      </c>
      <c r="L52" s="124">
        <v>1239</v>
      </c>
      <c r="M52" s="124">
        <v>-204</v>
      </c>
      <c r="N52" s="124">
        <v>1378</v>
      </c>
    </row>
    <row r="53" spans="2:14" x14ac:dyDescent="0.3">
      <c r="B53" t="s">
        <v>90</v>
      </c>
      <c r="C53" s="124">
        <v>-342</v>
      </c>
      <c r="D53" s="124">
        <v>-81</v>
      </c>
      <c r="E53" s="124">
        <v>566</v>
      </c>
      <c r="F53" s="124">
        <v>836</v>
      </c>
      <c r="G53" s="124">
        <v>-342</v>
      </c>
      <c r="H53" s="124">
        <v>411</v>
      </c>
      <c r="I53" s="124">
        <v>-101</v>
      </c>
      <c r="J53" s="124">
        <v>-1000</v>
      </c>
      <c r="K53" s="124">
        <v>-960</v>
      </c>
      <c r="L53" s="124">
        <v>1313</v>
      </c>
      <c r="M53" s="124">
        <v>-788</v>
      </c>
      <c r="N53" s="124">
        <v>686</v>
      </c>
    </row>
    <row r="54" spans="2:14" x14ac:dyDescent="0.3">
      <c r="B54" t="s">
        <v>91</v>
      </c>
      <c r="C54" s="124">
        <v>-1862</v>
      </c>
      <c r="D54" s="124">
        <v>-1765</v>
      </c>
      <c r="E54" s="124">
        <v>-1859</v>
      </c>
      <c r="F54" s="124">
        <v>-2264</v>
      </c>
      <c r="G54" s="124">
        <v>-2767</v>
      </c>
      <c r="H54" s="124">
        <v>-2505</v>
      </c>
      <c r="I54" s="124">
        <v>-2407</v>
      </c>
      <c r="J54" s="124">
        <v>-2784</v>
      </c>
      <c r="K54" s="124">
        <v>-3138</v>
      </c>
      <c r="L54" s="124">
        <v>-381</v>
      </c>
      <c r="M54" s="124">
        <v>-2268</v>
      </c>
      <c r="N54" s="124">
        <v>-4840</v>
      </c>
    </row>
    <row r="55" spans="2:14" x14ac:dyDescent="0.3">
      <c r="B55" t="s">
        <v>92</v>
      </c>
      <c r="C55" s="124">
        <v>-14</v>
      </c>
      <c r="D55" s="124">
        <v>-8</v>
      </c>
      <c r="E55" s="124">
        <v>-21</v>
      </c>
      <c r="F55" s="124">
        <v>0</v>
      </c>
      <c r="G55" s="124">
        <v>0</v>
      </c>
      <c r="H55" s="124">
        <v>0</v>
      </c>
      <c r="I55" s="124">
        <v>0</v>
      </c>
      <c r="J55" s="124">
        <v>0</v>
      </c>
      <c r="K55" s="124">
        <v>0</v>
      </c>
      <c r="L55" s="124">
        <v>0</v>
      </c>
      <c r="M55" s="124">
        <v>0</v>
      </c>
      <c r="N55" s="124">
        <v>0</v>
      </c>
    </row>
    <row r="56" spans="2:14" x14ac:dyDescent="0.3">
      <c r="B56" t="s">
        <v>277</v>
      </c>
      <c r="C56" s="124">
        <v>0</v>
      </c>
      <c r="D56" s="124">
        <v>0</v>
      </c>
      <c r="E56" s="124">
        <v>-13</v>
      </c>
      <c r="F56" s="124">
        <v>2</v>
      </c>
      <c r="G56" s="124">
        <v>0</v>
      </c>
      <c r="H56" s="124">
        <v>-6</v>
      </c>
      <c r="I56" s="124">
        <v>-1</v>
      </c>
      <c r="J56" s="124">
        <v>3</v>
      </c>
      <c r="K56" s="124">
        <v>0</v>
      </c>
      <c r="L56" s="124">
        <v>0</v>
      </c>
      <c r="M56" s="124">
        <v>0</v>
      </c>
      <c r="N56" s="124">
        <v>0</v>
      </c>
    </row>
    <row r="57" spans="2:14" x14ac:dyDescent="0.3">
      <c r="B57" t="s">
        <v>110</v>
      </c>
      <c r="C57" s="124">
        <v>138</v>
      </c>
      <c r="D57" s="124">
        <v>-282</v>
      </c>
      <c r="E57" s="124">
        <v>-1173</v>
      </c>
      <c r="F57" s="124">
        <v>-1063</v>
      </c>
      <c r="G57" s="124">
        <v>-438</v>
      </c>
      <c r="H57" s="124">
        <v>1791</v>
      </c>
      <c r="I57" s="124">
        <v>-1228</v>
      </c>
      <c r="J57" s="124">
        <v>-1728</v>
      </c>
      <c r="K57" s="124">
        <v>-1484</v>
      </c>
      <c r="L57" s="124">
        <v>-5324</v>
      </c>
      <c r="M57" s="124">
        <v>6473</v>
      </c>
      <c r="N57" s="124">
        <v>-3676</v>
      </c>
    </row>
    <row r="58" spans="2:14" x14ac:dyDescent="0.3">
      <c r="B58" t="s">
        <v>93</v>
      </c>
      <c r="C58" s="124">
        <v>-606</v>
      </c>
      <c r="D58" s="124">
        <v>-810</v>
      </c>
      <c r="E58" s="124">
        <v>-1113</v>
      </c>
      <c r="F58" s="124">
        <v>-895</v>
      </c>
      <c r="G58" s="124">
        <v>-767</v>
      </c>
      <c r="H58" s="124">
        <v>-862</v>
      </c>
      <c r="I58" s="124">
        <v>-4163</v>
      </c>
      <c r="J58" s="124">
        <v>-1228</v>
      </c>
      <c r="K58" s="124">
        <v>-1192</v>
      </c>
      <c r="L58" s="124">
        <v>-1477</v>
      </c>
      <c r="M58" s="124">
        <v>-1275</v>
      </c>
      <c r="N58" s="124">
        <v>-1361</v>
      </c>
    </row>
    <row r="59" spans="2:14" x14ac:dyDescent="0.3">
      <c r="B59" t="s">
        <v>94</v>
      </c>
      <c r="C59" s="124">
        <v>560</v>
      </c>
      <c r="D59" s="124">
        <v>99</v>
      </c>
      <c r="E59" s="124">
        <v>176</v>
      </c>
      <c r="F59" s="124">
        <v>32</v>
      </c>
      <c r="G59" s="124">
        <v>13</v>
      </c>
      <c r="H59" s="124">
        <v>52</v>
      </c>
      <c r="I59" s="124">
        <v>97</v>
      </c>
      <c r="J59" s="124">
        <v>175</v>
      </c>
      <c r="K59" s="124">
        <v>181</v>
      </c>
      <c r="L59" s="124">
        <v>20</v>
      </c>
      <c r="M59" s="124">
        <v>13</v>
      </c>
      <c r="N59" s="124">
        <v>29</v>
      </c>
    </row>
    <row r="60" spans="2:14" x14ac:dyDescent="0.3">
      <c r="B60" t="s">
        <v>95</v>
      </c>
      <c r="C60" s="124">
        <v>-19353</v>
      </c>
      <c r="D60" s="124">
        <v>-20666</v>
      </c>
      <c r="E60" s="124">
        <v>-31214</v>
      </c>
      <c r="F60" s="124">
        <v>-51855</v>
      </c>
      <c r="G60" s="124">
        <v>-74365</v>
      </c>
      <c r="H60" s="124">
        <v>-36090</v>
      </c>
      <c r="I60" s="124">
        <v>-39920</v>
      </c>
      <c r="J60" s="124">
        <v>-48522</v>
      </c>
      <c r="K60" s="124">
        <v>-22649</v>
      </c>
      <c r="L60" s="124">
        <v>-21337</v>
      </c>
      <c r="M60" s="124">
        <v>-22957</v>
      </c>
      <c r="N60" s="124">
        <v>-25529</v>
      </c>
    </row>
    <row r="61" spans="2:14" x14ac:dyDescent="0.3">
      <c r="B61" t="s">
        <v>96</v>
      </c>
      <c r="C61" s="124">
        <v>19461</v>
      </c>
      <c r="D61" s="124">
        <v>20937</v>
      </c>
      <c r="E61" s="124">
        <v>30083</v>
      </c>
      <c r="F61" s="124">
        <v>52897</v>
      </c>
      <c r="G61" s="124">
        <v>74691</v>
      </c>
      <c r="H61" s="124">
        <v>37690</v>
      </c>
      <c r="I61" s="124">
        <v>38486</v>
      </c>
      <c r="J61" s="124">
        <v>47786</v>
      </c>
      <c r="K61" s="124">
        <v>23462</v>
      </c>
      <c r="L61" s="124">
        <v>19846</v>
      </c>
      <c r="M61" s="124">
        <v>23987</v>
      </c>
      <c r="N61" s="124">
        <v>25117</v>
      </c>
    </row>
    <row r="62" spans="2:14" x14ac:dyDescent="0.3">
      <c r="B62" t="s">
        <v>97</v>
      </c>
      <c r="C62" s="124">
        <v>218</v>
      </c>
      <c r="D62" s="124">
        <v>315</v>
      </c>
      <c r="E62" s="124">
        <v>264</v>
      </c>
      <c r="F62" s="124">
        <v>297</v>
      </c>
      <c r="G62" s="124">
        <v>289</v>
      </c>
      <c r="H62" s="124">
        <v>351</v>
      </c>
      <c r="I62" s="124">
        <v>277</v>
      </c>
      <c r="J62" s="124">
        <v>161</v>
      </c>
      <c r="K62" s="124">
        <v>259</v>
      </c>
      <c r="L62" s="124">
        <v>425</v>
      </c>
      <c r="M62" s="124">
        <v>835</v>
      </c>
      <c r="N62" s="124">
        <v>428</v>
      </c>
    </row>
    <row r="63" spans="2:14" x14ac:dyDescent="0.3">
      <c r="B63" t="s">
        <v>278</v>
      </c>
      <c r="C63" s="124">
        <v>24</v>
      </c>
      <c r="D63" s="124">
        <v>33</v>
      </c>
      <c r="E63" s="124">
        <v>14</v>
      </c>
      <c r="F63" s="124">
        <v>0</v>
      </c>
      <c r="G63" s="124">
        <v>1</v>
      </c>
      <c r="H63" s="124">
        <v>1</v>
      </c>
      <c r="I63" s="124">
        <v>1</v>
      </c>
      <c r="J63" s="124">
        <v>1</v>
      </c>
      <c r="K63" s="124">
        <v>2</v>
      </c>
      <c r="L63" s="124">
        <v>3</v>
      </c>
      <c r="M63" s="124">
        <v>0</v>
      </c>
      <c r="N63" s="124">
        <v>5</v>
      </c>
    </row>
    <row r="64" spans="2:14" x14ac:dyDescent="0.3">
      <c r="B64" t="s">
        <v>98</v>
      </c>
      <c r="C64" s="124">
        <v>200</v>
      </c>
      <c r="D64" s="124">
        <v>161</v>
      </c>
      <c r="E64" s="124">
        <v>20</v>
      </c>
      <c r="F64" s="124">
        <v>73</v>
      </c>
      <c r="G64" s="124">
        <v>0</v>
      </c>
      <c r="H64" s="124">
        <v>0</v>
      </c>
      <c r="I64" s="124">
        <v>0</v>
      </c>
      <c r="J64" s="124">
        <v>0</v>
      </c>
      <c r="K64" s="124">
        <v>0</v>
      </c>
      <c r="L64" s="124">
        <v>0</v>
      </c>
      <c r="M64" s="124">
        <v>0</v>
      </c>
      <c r="N64" s="124">
        <v>298</v>
      </c>
    </row>
    <row r="65" spans="2:14" x14ac:dyDescent="0.3">
      <c r="B65" t="s">
        <v>99</v>
      </c>
      <c r="C65" s="124">
        <v>0</v>
      </c>
      <c r="D65" s="124">
        <v>0</v>
      </c>
      <c r="E65" s="124">
        <v>0</v>
      </c>
      <c r="F65" s="124">
        <v>0</v>
      </c>
      <c r="G65" s="124">
        <v>0</v>
      </c>
      <c r="H65" s="124">
        <v>0</v>
      </c>
      <c r="I65" s="124">
        <v>0</v>
      </c>
      <c r="J65" s="124">
        <v>0</v>
      </c>
      <c r="K65" s="124">
        <v>-334</v>
      </c>
      <c r="L65" s="124">
        <v>0</v>
      </c>
      <c r="M65" s="124">
        <v>0</v>
      </c>
      <c r="N65" s="124">
        <v>0</v>
      </c>
    </row>
    <row r="66" spans="2:14" x14ac:dyDescent="0.3">
      <c r="B66" t="s">
        <v>100</v>
      </c>
      <c r="C66" s="124">
        <v>-367</v>
      </c>
      <c r="D66" s="124">
        <v>-351</v>
      </c>
      <c r="E66" s="124">
        <v>597</v>
      </c>
      <c r="F66" s="124">
        <v>-1612</v>
      </c>
      <c r="G66" s="124">
        <v>-300</v>
      </c>
      <c r="H66" s="124">
        <v>649</v>
      </c>
      <c r="I66" s="124">
        <v>3994</v>
      </c>
      <c r="J66" s="124">
        <v>-101</v>
      </c>
      <c r="K66" s="124">
        <v>-1213</v>
      </c>
      <c r="L66" s="124">
        <v>-2804</v>
      </c>
      <c r="M66" s="124">
        <v>5870</v>
      </c>
      <c r="N66" s="124">
        <v>-2663</v>
      </c>
    </row>
    <row r="67" spans="2:14" x14ac:dyDescent="0.3">
      <c r="B67" t="s">
        <v>111</v>
      </c>
      <c r="C67" s="124">
        <v>-3462</v>
      </c>
      <c r="D67" s="124">
        <v>-3864</v>
      </c>
      <c r="E67" s="124">
        <v>-4214</v>
      </c>
      <c r="F67" s="124">
        <v>-4975</v>
      </c>
      <c r="G67" s="124">
        <v>-5390</v>
      </c>
      <c r="H67" s="124">
        <v>-6819</v>
      </c>
      <c r="I67" s="124">
        <v>-9309</v>
      </c>
      <c r="J67" s="124">
        <v>-8015</v>
      </c>
      <c r="K67" s="124">
        <v>-8953</v>
      </c>
      <c r="L67" s="124">
        <v>-10034</v>
      </c>
      <c r="M67" s="124">
        <v>-13101</v>
      </c>
      <c r="N67" s="124">
        <v>-10810</v>
      </c>
    </row>
    <row r="68" spans="2:14" x14ac:dyDescent="0.3">
      <c r="B68" t="s">
        <v>101</v>
      </c>
      <c r="C68" s="124">
        <v>2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0</v>
      </c>
      <c r="J68" s="124">
        <v>0</v>
      </c>
      <c r="K68" s="124">
        <v>0</v>
      </c>
      <c r="L68" s="124">
        <v>0</v>
      </c>
      <c r="M68" s="124">
        <v>0</v>
      </c>
      <c r="N68" s="124">
        <v>0</v>
      </c>
    </row>
    <row r="69" spans="2:14" x14ac:dyDescent="0.3">
      <c r="B69" t="s">
        <v>102</v>
      </c>
      <c r="C69" s="124">
        <v>0</v>
      </c>
      <c r="D69" s="124">
        <v>177</v>
      </c>
      <c r="E69" s="124">
        <v>460</v>
      </c>
      <c r="F69" s="124">
        <v>0</v>
      </c>
      <c r="G69" s="124">
        <v>99</v>
      </c>
      <c r="H69" s="124">
        <v>0</v>
      </c>
      <c r="I69" s="124">
        <v>188</v>
      </c>
      <c r="J69" s="124">
        <v>55</v>
      </c>
      <c r="K69" s="124">
        <v>286</v>
      </c>
      <c r="L69" s="124">
        <v>0</v>
      </c>
      <c r="M69" s="124">
        <v>0</v>
      </c>
      <c r="N69" s="124">
        <v>0</v>
      </c>
    </row>
    <row r="70" spans="2:14" x14ac:dyDescent="0.3">
      <c r="B70" t="s">
        <v>103</v>
      </c>
      <c r="C70" s="124">
        <v>-3</v>
      </c>
      <c r="D70" s="124">
        <v>0</v>
      </c>
      <c r="E70" s="124">
        <v>-360</v>
      </c>
      <c r="F70" s="124">
        <v>-277</v>
      </c>
      <c r="G70" s="124">
        <v>0</v>
      </c>
      <c r="H70" s="124">
        <v>-99</v>
      </c>
      <c r="I70" s="124">
        <v>-188</v>
      </c>
      <c r="J70" s="124">
        <v>-55</v>
      </c>
      <c r="K70" s="124">
        <v>-208</v>
      </c>
      <c r="L70" s="124">
        <v>-85</v>
      </c>
      <c r="M70" s="124">
        <v>0</v>
      </c>
      <c r="N70" s="124">
        <v>-46</v>
      </c>
    </row>
    <row r="71" spans="2:14" x14ac:dyDescent="0.3">
      <c r="B71" t="s">
        <v>104</v>
      </c>
      <c r="C71" s="124">
        <v>-18</v>
      </c>
      <c r="D71" s="124">
        <v>-2</v>
      </c>
      <c r="E71" s="124">
        <v>-14</v>
      </c>
      <c r="F71" s="124">
        <v>-6</v>
      </c>
      <c r="G71" s="124">
        <v>-7</v>
      </c>
      <c r="H71" s="124">
        <v>-90</v>
      </c>
      <c r="I71" s="124">
        <v>-92</v>
      </c>
      <c r="J71" s="124">
        <v>-82</v>
      </c>
      <c r="K71" s="124">
        <v>-88</v>
      </c>
      <c r="L71" s="124">
        <v>-110</v>
      </c>
      <c r="M71" s="124">
        <v>-130</v>
      </c>
      <c r="N71" s="124">
        <v>-133</v>
      </c>
    </row>
    <row r="72" spans="2:14" x14ac:dyDescent="0.3">
      <c r="B72" t="s">
        <v>279</v>
      </c>
      <c r="C72" s="124">
        <v>-2912</v>
      </c>
      <c r="D72" s="124">
        <v>-3354</v>
      </c>
      <c r="E72" s="124">
        <v>-3572</v>
      </c>
      <c r="F72" s="124">
        <v>-3911</v>
      </c>
      <c r="G72" s="124">
        <v>-4554</v>
      </c>
      <c r="H72" s="124">
        <v>-5196</v>
      </c>
      <c r="I72" s="124">
        <v>-8811</v>
      </c>
      <c r="J72" s="124">
        <v>-7526</v>
      </c>
      <c r="K72" s="124">
        <v>-8474</v>
      </c>
      <c r="L72" s="124">
        <v>-9416</v>
      </c>
      <c r="M72" s="124">
        <v>-12473</v>
      </c>
      <c r="N72" s="124">
        <v>-10124</v>
      </c>
    </row>
    <row r="73" spans="2:14" x14ac:dyDescent="0.3">
      <c r="B73" t="s">
        <v>105</v>
      </c>
      <c r="C73" s="124">
        <v>0</v>
      </c>
      <c r="D73" s="124">
        <v>0</v>
      </c>
      <c r="E73" s="124">
        <v>0</v>
      </c>
      <c r="F73" s="124">
        <v>0</v>
      </c>
      <c r="G73" s="124">
        <v>0</v>
      </c>
      <c r="H73" s="124">
        <v>-373</v>
      </c>
      <c r="I73" s="124">
        <v>-406</v>
      </c>
      <c r="J73" s="124">
        <v>-407</v>
      </c>
      <c r="K73" s="124">
        <v>-467</v>
      </c>
      <c r="L73" s="124">
        <v>-423</v>
      </c>
      <c r="M73" s="124">
        <v>-498</v>
      </c>
      <c r="N73" s="124">
        <v>-507</v>
      </c>
    </row>
    <row r="74" spans="2:14" x14ac:dyDescent="0.3">
      <c r="B74" t="s">
        <v>106</v>
      </c>
      <c r="C74" s="124">
        <v>-533</v>
      </c>
      <c r="D74" s="124">
        <v>-685</v>
      </c>
      <c r="E74" s="124">
        <v>-728</v>
      </c>
      <c r="F74" s="124">
        <v>-781</v>
      </c>
      <c r="G74" s="124">
        <v>-928</v>
      </c>
      <c r="H74" s="124">
        <v>-1061</v>
      </c>
      <c r="I74" s="124">
        <v>0</v>
      </c>
      <c r="J74" s="124">
        <v>0</v>
      </c>
      <c r="K74" s="124">
        <v>-2</v>
      </c>
      <c r="L74" s="124">
        <v>0</v>
      </c>
      <c r="M74" s="124">
        <v>0</v>
      </c>
      <c r="N74" s="124">
        <v>0</v>
      </c>
    </row>
    <row r="75" spans="2:14" x14ac:dyDescent="0.3">
      <c r="B75" t="s">
        <v>21</v>
      </c>
      <c r="C75" s="124">
        <v>-33</v>
      </c>
      <c r="D75" s="124">
        <v>25</v>
      </c>
      <c r="E75" s="124">
        <v>-202</v>
      </c>
      <c r="F75" s="124">
        <v>21</v>
      </c>
      <c r="G75" s="124">
        <v>-28</v>
      </c>
      <c r="H75" s="124">
        <v>2595</v>
      </c>
      <c r="I75" s="124">
        <v>-1374</v>
      </c>
      <c r="J75" s="124">
        <v>-695</v>
      </c>
      <c r="K75" s="124">
        <v>-446</v>
      </c>
      <c r="L75" s="124">
        <v>111</v>
      </c>
      <c r="M75" s="124">
        <v>5258</v>
      </c>
      <c r="N75" s="124">
        <v>-3487</v>
      </c>
    </row>
    <row r="76" spans="2:14" x14ac:dyDescent="0.3">
      <c r="B76" t="s">
        <v>107</v>
      </c>
      <c r="C76" s="124">
        <v>3246</v>
      </c>
      <c r="D76" s="124">
        <v>3460</v>
      </c>
      <c r="E76" s="124">
        <v>4248</v>
      </c>
      <c r="F76" s="124">
        <v>5196</v>
      </c>
      <c r="G76" s="124">
        <v>5046</v>
      </c>
      <c r="H76" s="124">
        <v>6813</v>
      </c>
      <c r="I76" s="124">
        <v>5097</v>
      </c>
      <c r="J76" s="124">
        <v>7995</v>
      </c>
      <c r="K76" s="124">
        <v>8980</v>
      </c>
      <c r="L76" s="124">
        <v>14012</v>
      </c>
      <c r="M76" s="124">
        <v>10624</v>
      </c>
      <c r="N76" s="124">
        <v>9667</v>
      </c>
    </row>
    <row r="77" spans="2:14" x14ac:dyDescent="0.3">
      <c r="B77" t="s">
        <v>108</v>
      </c>
      <c r="C77" s="124">
        <v>0.95</v>
      </c>
      <c r="D77" s="124">
        <v>1</v>
      </c>
      <c r="E77" s="124">
        <v>1.1100000000000001</v>
      </c>
      <c r="F77" s="124">
        <v>1.1100000000000001</v>
      </c>
      <c r="G77" s="124">
        <v>0.96</v>
      </c>
      <c r="H77" s="124">
        <v>1.03</v>
      </c>
      <c r="I77" s="124">
        <v>1</v>
      </c>
      <c r="J77" s="124">
        <v>0.92</v>
      </c>
      <c r="K77" s="124">
        <v>0.93</v>
      </c>
      <c r="L77" s="124">
        <v>1.08</v>
      </c>
      <c r="M77" s="124">
        <v>0.96</v>
      </c>
      <c r="N77" s="124">
        <v>1.05</v>
      </c>
    </row>
  </sheetData>
  <pageMargins left="0.7" right="0.7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Cover Page</vt:lpstr>
      <vt:lpstr>Assumptions and Notes</vt:lpstr>
      <vt:lpstr>DCF&gt;</vt:lpstr>
      <vt:lpstr>DCF</vt:lpstr>
      <vt:lpstr>WACC</vt:lpstr>
      <vt:lpstr>Intrinsic Growth</vt:lpstr>
      <vt:lpstr>Football Field</vt:lpstr>
      <vt:lpstr>Comps Val</vt:lpstr>
      <vt:lpstr>Data&gt;</vt:lpstr>
      <vt:lpstr>Beta - Regression</vt:lpstr>
      <vt:lpstr>Beta - Comps</vt:lpstr>
      <vt:lpstr>Rm</vt:lpstr>
      <vt:lpstr>Comps Data</vt:lpstr>
      <vt:lpstr>Financials&gt;</vt:lpstr>
      <vt:lpstr>HistoricalFS</vt:lpstr>
      <vt:lpstr>Ratio Analysis</vt:lpstr>
      <vt:lpstr>Forecasting</vt:lpstr>
      <vt:lpstr>Data Room&gt;</vt:lpstr>
      <vt:lpstr>Data Sheet</vt:lpstr>
      <vt:lpstr>Raw FS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SIDDHANT SHARMA</cp:lastModifiedBy>
  <cp:lastPrinted>2026-06-26T09:38:46Z</cp:lastPrinted>
  <dcterms:created xsi:type="dcterms:W3CDTF">2012-08-17T09:55:37Z</dcterms:created>
  <dcterms:modified xsi:type="dcterms:W3CDTF">2026-06-26T09:54:05Z</dcterms:modified>
</cp:coreProperties>
</file>